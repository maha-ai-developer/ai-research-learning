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2dbfb76a0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3c6f70d36574c14"/>
    <x:sheet xmlns:r="http://schemas.openxmlformats.org/officeDocument/2006/relationships" name="Source Inventory" sheetId="2" r:id="Rc5634fc20b014827"/>
    <x:sheet xmlns:r="http://schemas.openxmlformats.org/officeDocument/2006/relationships" name="Field Schema" sheetId="3" r:id="R8f87a39d7a724a6a"/>
    <x:sheet xmlns:r="http://schemas.openxmlformats.org/officeDocument/2006/relationships" name="Collection Rules" sheetId="4" r:id="Rb9a2e107e6534ec2"/>
    <x:sheet xmlns:r="http://schemas.openxmlformats.org/officeDocument/2006/relationships" name="URL Manifest" sheetId="5" r:id="Rb19049c6ae2b4b15"/>
    <x:sheet xmlns:r="http://schemas.openxmlformats.org/officeDocument/2006/relationships" name="Collection Estimate" sheetId="6" r:id="R55a32b092bf3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5364A"/>
      <x:name val="Carlito"/>
    </x:font>
    <x:font>
      <x:b/>
      <x:sz val="11"/>
      <x:color rgb="FF142D4E"/>
      <x:name val="Carlito"/>
    </x:font>
    <x:font>
      <x:b/>
      <x:sz val="20"/>
      <x:color rgb="FF142D4E"/>
      <x:name val="Carlito"/>
    </x:font>
    <x:font>
      <x:b/>
      <x:sz val="11"/>
      <x:color rgb="FFFFFFFF"/>
      <x:name val="Carlito"/>
    </x:font>
    <x:font>
      <x:sz val="11"/>
      <x:color rgb="FF5D4720"/>
      <x:name val="Carlito"/>
    </x:font>
    <x:font>
      <x:b/>
      <x:sz val="15"/>
      <x:color rgb="FFFFFFFF"/>
      <x:name val="Carlito"/>
    </x:font>
    <x:font>
      <x:i/>
      <x:sz val="10"/>
      <x:color rgb="FF24364B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0"/>
      <x:color rgb="FF17365D"/>
      <x:name val="Carlito"/>
    </x:font>
    <x:font>
      <x:b/>
      <x:sz val="18"/>
      <x:color rgb="FF17365D"/>
      <x:name val="Carlito"/>
    </x:font>
    <x:font>
      <x:b/>
      <x:sz val="11"/>
      <x:color rgb="FF17365D"/>
      <x:name val="Carlito"/>
    </x:font>
    <x:font>
      <x:sz val="10"/>
      <x:color rgb="FF24364B"/>
      <x:name val="Carlito"/>
    </x:font>
    <x:font>
      <x:b/>
      <x:sz val="10"/>
      <x:color rgb="FF24364B"/>
      <x:name val="Carlito"/>
    </x:font>
    <x:font>
      <x:b/>
      <x:sz val="12"/>
      <x:color rgb="FF17365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EAF0F7"/>
      </x:patternFill>
    </x:fill>
    <x:fill>
      <x:patternFill patternType="solid">
        <x:fgColor rgb="FFD8E3F0"/>
      </x:patternFill>
    </x:fill>
    <x:fill>
      <x:patternFill patternType="solid">
        <x:fgColor rgb="FFF6F8FB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5597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horizont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horizontal="center"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center" wrapText="0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horizontal="center"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32691579e42ff" /><Relationship Type="http://schemas.openxmlformats.org/officeDocument/2006/relationships/theme" Target="/xl/theme/theme1.xml" Id="R4c3be933e2424682" /><Relationship Type="http://schemas.openxmlformats.org/officeDocument/2006/relationships/sharedStrings" Target="/xl/sharedStrings.xml" Id="R475af3d425c844e0" /><Relationship Type="http://schemas.openxmlformats.org/officeDocument/2006/relationships/worksheet" Target="/xl/worksheets/sheet1.xml" Id="R03c6f70d36574c14" /><Relationship Type="http://schemas.openxmlformats.org/officeDocument/2006/relationships/worksheet" Target="/xl/worksheets/sheet2.xml" Id="Rc5634fc20b014827" /><Relationship Type="http://schemas.openxmlformats.org/officeDocument/2006/relationships/worksheet" Target="/xl/worksheets/sheet3.xml" Id="R8f87a39d7a724a6a" /><Relationship Type="http://schemas.openxmlformats.org/officeDocument/2006/relationships/worksheet" Target="/xl/worksheets/sheet4.xml" Id="Rb9a2e107e6534ec2" /><Relationship Type="http://schemas.openxmlformats.org/officeDocument/2006/relationships/worksheet" Target="/xl/worksheets/sheet5.xml" Id="Rb19049c6ae2b4b15" /><Relationship Type="http://schemas.openxmlformats.org/officeDocument/2006/relationships/worksheet" Target="/xl/worksheets/sheet6.xml" Id="R55a32b092bf3442b" /></Relationships>
</file>

<file path=xl/tables/table1.xml><?xml version="1.0" encoding="utf-8"?>
<x:table xmlns:x="http://schemas.openxmlformats.org/spreadsheetml/2006/main" id="1" name="SourceInventoryTable" displayName="SourceInventoryTable" ref="A1:L22" headerRowCount="1" totalsRowCount="0" totalsRowShown="0">
  <x:tableColumns count="12">
    <x:tableColumn id="1" name="ID"/>
    <x:tableColumn id="2" name="Person / site"/>
    <x:tableColumn id="3" name="Content family"/>
    <x:tableColumn id="4" name="Inventory item"/>
    <x:tableColumn id="5" name="Priority"/>
    <x:tableColumn id="6" name="Primary source URL"/>
    <x:tableColumn id="7" name="Data to inventory / capture"/>
    <x:tableColumn id="8" name="Initial collection method"/>
    <x:tableColumn id="9" name="Cautions / decisions"/>
    <x:tableColumn id="10" name="Inventory status"/>
    <x:tableColumn id="11" name="Robots / reuse check"/>
    <x:tableColumn id="12" name="Last 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SchemaTable" displayName="FieldSchemaTable" ref="A1:E23" headerRowCount="1" totalsRowCount="0" totalsRowShown="0">
  <x:tableColumns count="5">
    <x:tableColumn id="1" name="Field"/>
    <x:tableColumn id="2" name="Required for first pass?"/>
    <x:tableColumn id="3" name="Applies to"/>
    <x:tableColumn id="4" name="Meaning / guidance"/>
    <x:tableColumn id="5" name="Example / constra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llectionRulesTable" displayName="CollectionRulesTable" ref="A3:D15" headerRowCount="1" totalsRowCount="0" totalsRowShown="0">
  <x:tableColumns count="4">
    <x:tableColumn id="1" name="Check / rule"/>
    <x:tableColumn id="2" name="Current state"/>
    <x:tableColumn id="3" name="Action before implementation"/>
    <x:tableColumn id="4" name="Why it matt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edUrlManifestTable" displayName="SeedUrlManifestTable" ref="A4:N56" headerRowCount="1" totalsRowCount="0" totalsRowShown="0">
  <x:tableColumns count="14">
    <x:tableColumn id="1" name="Manifest ID"/>
    <x:tableColumn id="2" name="Person / source"/>
    <x:tableColumn id="3" name="URL"/>
    <x:tableColumn id="4" name="Page / resource name"/>
    <x:tableColumn id="5" name="Resource type"/>
    <x:tableColumn id="6" name="Domain scope"/>
    <x:tableColumn id="7" name="Verification status"/>
    <x:tableColumn id="8" name="Observed from"/>
    <x:tableColumn id="9" name="Information to inventory"/>
    <x:tableColumn id="10" name="Priority"/>
    <x:tableColumn id="11" name="Collection decision"/>
    <x:tableColumn id="12" name="Robots / sitemap status"/>
    <x:tableColumn id="13" name="Rights status"/>
    <x:tableColumn id="14" name="Last check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llectionEstimateTable" displayName="CollectionEstimateTable" ref="A4:E14" headerRowCount="1" totalsRowCount="0" totalsRowShown="0">
  <x:tableColumns count="5">
    <x:tableColumn id="1" name="Metric"/>
    <x:tableColumn id="2" name="Observed baseline"/>
    <x:tableColumn id="3" name="Count / value"/>
    <x:tableColumn id="4" name="Confidence"/>
    <x:tableColumn id="5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2f2c3a25864b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55aa094ec9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ac3baa9fec41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81db7855934c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db997a58324c6a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2" hidden="0" customWidth="1"/>
    <x:col min="2" max="2" width="68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81" t="str">
        <x:v>AI Research Learning App — Source Inventory (Stage 2)</x:v>
      </x:c>
      <x:c r="B1" s="81" t="str"/>
      <x:c r="C1" s="81" t="str"/>
      <x:c r="D1" s="81"/>
      <x:c r="E1" s="81"/>
      <x:c r="F1" s="81"/>
      <x:c r="G1" s="81"/>
      <x:c r="H1" s="5"/>
    </x:row>
    <x:row r="2" ht="24" customHeight="1">
      <x:c r="A2" s="111" t="str">
        <x:v>URL catalog; metadata-first; no bulk scraping yet.</x:v>
      </x:c>
      <x:c r="B2" s="111" t="str"/>
      <x:c r="C2" s="111" t="str"/>
      <x:c r="D2" s="73"/>
      <x:c r="E2" s="73"/>
      <x:c r="F2" s="73"/>
      <x:c r="G2" s="73"/>
      <x:c r="H2" s="13"/>
    </x:row>
    <x:row r="3">
      <x:c r="A3" t="str"/>
      <x:c r="B3" t="str"/>
      <x:c r="C3" t="str"/>
    </x:row>
    <x:row r="4" ht="25" customHeight="1">
      <x:c r="A4" s="78" t="str">
        <x:v>Metric</x:v>
      </x:c>
      <x:c r="B4" s="78" t="str">
        <x:v>Value</x:v>
      </x:c>
      <x:c r="C4" s="78" t="str">
        <x:v>Meaning</x:v>
      </x:c>
      <x:c r="D4" s="84"/>
      <x:c r="E4" s="84" t="str">
        <x:v>Seed URL rows</x:v>
      </x:c>
      <x:c r="F4" s="84"/>
      <x:c r="G4" s="84" t="str">
        <x:v>Open</x:v>
      </x:c>
      <x:c r="H4" s="22"/>
    </x:row>
    <x:row r="5" ht="26" customHeight="1">
      <x:c r="A5" s="118" t="str">
        <x:v>Source families</x:v>
      </x:c>
      <x:c r="B5" s="120" t="n">
        <x:v>21</x:v>
      </x:c>
      <x:c r="C5" s="115" t="str">
        <x:v>Categorized content families across the two sites</x:v>
      </x:c>
      <x:c r="D5" s="86"/>
      <x:c r="E5" s="86" t="n">
        <x:f>COUNTA('URL Manifest'!A5:A56)</x:f>
        <x:v>52</x:v>
      </x:c>
      <x:c r="F5" s="86"/>
      <x:c r="G5" s="86" t="n">
        <x:f>COUNTIF('URL Manifest'!G5:G56,"Unverified — not accessible through research browser")</x:f>
        <x:v>5</x:v>
      </x:c>
      <x:c r="H5" s="31"/>
    </x:row>
    <x:row r="6" ht="26" customHeight="1">
      <x:c r="A6" s="118" t="str">
        <x:v>High-priority families (P1)</x:v>
      </x:c>
      <x:c r="B6" s="120" t="n">
        <x:v>12</x:v>
      </x:c>
      <x:c r="C6" s="115" t="str">
        <x:v>Recommended starting points</x:v>
      </x:c>
      <x:c r="D6" s="31"/>
      <x:c r="E6" s="31"/>
      <x:c r="F6" s="31"/>
      <x:c r="G6" s="31"/>
      <x:c r="H6" s="31"/>
    </x:row>
    <x:row r="7" ht="26" customHeight="1">
      <x:c r="A7" s="119" t="str">
        <x:v>Seed URL manifest rows</x:v>
      </x:c>
      <x:c r="B7" s="120" t="n">
        <x:f>COUNTA('URL Manifest'!A5:A56)</x:f>
        <x:v>52</x:v>
      </x:c>
      <x:c r="C7" s="116" t="str">
        <x:v>First-party pages, external pointers, and policy endpoints</x:v>
      </x:c>
    </x:row>
    <x:row r="8" ht="26" customHeight="1">
      <x:c r="A8" s="119" t="str">
        <x:v>Unverified compliance endpoints</x:v>
      </x:c>
      <x:c r="B8" s="120" t="n">
        <x:f>COUNTIF('URL Manifest'!G5:G56,"Unverified — not accessible through research browser")</x:f>
        <x:v>5</x:v>
      </x:c>
      <x:c r="C8" s="117" t="str">
        <x:v>Endpoint responses unavailable through the current research browser</x:v>
      </x:c>
      <x:c r="D8" s="89"/>
      <x:c r="E8" s="89"/>
      <x:c r="F8" s="89"/>
      <x:c r="G8" s="89"/>
      <x:c r="H8" s="36"/>
    </x:row>
    <x:row r="9" ht="10" customHeight="1">
      <x:c r="A9" s="122" t="str"/>
      <x:c r="B9" s="122" t="str"/>
      <x:c r="C9" s="122" t="str"/>
      <x:c r="D9" s="91"/>
      <x:c r="E9" s="91"/>
      <x:c r="F9" s="91"/>
      <x:c r="G9" s="91"/>
      <x:c r="H9" s="41"/>
    </x:row>
    <x:row r="10" ht="24" customHeight="1">
      <x:c r="A10" s="102" t="str">
        <x:v>What this inventory covers</x:v>
      </x:c>
      <x:c r="B10" s="102" t="str"/>
      <x:c r="C10" s="102" t="str"/>
      <x:c r="D10" s="41"/>
      <x:c r="E10" s="41"/>
      <x:c r="F10" s="41"/>
      <x:c r="G10" s="41"/>
      <x:c r="H10" s="41"/>
    </x:row>
    <x:row r="11" ht="96" customHeight="1">
      <x:c r="A11" s="105" t="str"/>
      <x:c r="B11" s="105" t="str"/>
      <x:c r="C11" s="105" t="str">
        <x:v>Stage 2 includes 52 seed rows: 38 first-party/legacy URLs, 8 external/cross-owner pointers, and 6 policy endpoints. Hinton’s domain robots.txt is verified at a one-second crawl delay. Bengio robots and sitemap checks remain unresolved. No bulk content has been collected.</x:v>
      </x:c>
    </x:row>
    <x:row r="12" ht="10" customHeight="1">
      <x:c r="A12" s="123" t="str"/>
      <x:c r="B12" s="123" t="str"/>
      <x:c r="C12" s="123" t="str"/>
      <x:c r="D12" s="36"/>
      <x:c r="E12" s="36"/>
      <x:c r="F12" s="36"/>
      <x:c r="G12" s="36"/>
      <x:c r="H12" s="36"/>
    </x:row>
    <x:row r="13" ht="24" customHeight="1">
      <x:c r="A13" s="102" t="str">
        <x:v>Recommended next actions</x:v>
      </x:c>
      <x:c r="B13" s="102" t="str"/>
      <x:c r="C13" s="102" t="str"/>
    </x:row>
    <x:row r="14" ht="24" customHeight="1">
      <x:c r="A14" s="84" t="str">
        <x:v>Step</x:v>
      </x:c>
      <x:c r="B14" s="95" t="str">
        <x:v>Action</x:v>
      </x:c>
      <x:c r="C14" s="95" t="str">
        <x:v>Gate</x:v>
      </x:c>
    </x:row>
    <x:row r="15" ht="38" customHeight="1">
      <x:c r="A15" s="52" t="n">
        <x:v>1</x:v>
      </x:c>
      <x:c r="B15" s="50" t="str">
        <x:v>Verify remaining site policy endpoints and reuse terms before automation.</x:v>
      </x:c>
      <x:c r="C15" s="50" t="str">
        <x:v>Blocking gate</x:v>
      </x:c>
    </x:row>
    <x:row r="16" ht="38" customHeight="1">
      <x:c r="A16" s="52" t="n">
        <x:v>2</x:v>
      </x:c>
      <x:c r="B16" s="50" t="str">
        <x:v>Use the URL Manifest as the explicit allowlist; retain external destinations as references only.</x:v>
      </x:c>
      <x:c r="C16" s="50" t="str">
        <x:v>Scope control</x:v>
      </x:c>
    </x:row>
    <x:row r="17" ht="38" customHeight="1">
      <x:c r="A17" s="52" t="n">
        <x:v>3</x:v>
      </x:c>
      <x:c r="B17" s="50" t="str">
        <x:v>Run Hinton requests at no faster than one request per second; determine Bengio’s rate after checking its robots.txt.</x:v>
      </x:c>
      <x:c r="C17" s="50" t="str">
        <x:v>Crawl policy</x:v>
      </x:c>
    </x:row>
    <x:row r="18" ht="38" customHeight="1">
      <x:c r="A18" s="50" t="n">
        <x:v>4</x:v>
      </x:c>
      <x:c r="B18" s="50" t="str">
        <x:v>Pilot metadata-only extraction on Hinton publications and lecture index plus Bengio research/blog indexes.</x:v>
      </x:c>
      <x:c r="C18" s="50" t="str">
        <x:v>Bounded pilot</x:v>
      </x:c>
    </x:row>
    <x:row r="19" ht="38" customHeight="1">
      <x:c r="A19" s="50" t="n">
        <x:v>5</x:v>
      </x:c>
      <x:c r="B19" s="50" t="str">
        <x:v>Deduplicate publication lists and paginate Bengio blog/category pages before estimating unique document totals.</x:v>
      </x:c>
      <x:c r="C19" s="50" t="str">
        <x:v>Data quality</x:v>
      </x:c>
    </x:row>
    <x:row r="20">
      <x:c r="A20" t="str"/>
      <x:c r="B20" t="str"/>
      <x:c r="C2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22" hidden="0" customWidth="1"/>
    <x:col min="4" max="4" width="36" hidden="0" customWidth="1"/>
    <x:col min="5" max="5" width="10" hidden="0" customWidth="1"/>
    <x:col min="6" max="6" width="48" hidden="0" customWidth="1"/>
    <x:col min="7" max="7" width="48" hidden="0" customWidth="1"/>
    <x:col min="8" max="8" width="42" hidden="0" customWidth="1"/>
    <x:col min="9" max="9" width="46" hidden="0" customWidth="1"/>
    <x:col min="10" max="10" width="17" hidden="0" customWidth="1"/>
    <x:col min="11" max="11" width="40" hidden="0" customWidth="1"/>
    <x:col min="12" max="12" width="14" hidden="0" customWidth="1"/>
  </x:cols>
  <x:sheetData>
    <x:row r="1" ht="34" customHeight="1">
      <x:c r="A1" s="56" t="str">
        <x:v>ID</x:v>
      </x:c>
      <x:c r="B1" s="56" t="str">
        <x:v>Person / site</x:v>
      </x:c>
      <x:c r="C1" s="56" t="str">
        <x:v>Content family</x:v>
      </x:c>
      <x:c r="D1" s="56" t="str">
        <x:v>Inventory item</x:v>
      </x:c>
      <x:c r="E1" s="56" t="str">
        <x:v>Priority</x:v>
      </x:c>
      <x:c r="F1" s="56" t="str">
        <x:v>Primary source URL</x:v>
      </x:c>
      <x:c r="G1" s="56" t="str">
        <x:v>Data to inventory / capture</x:v>
      </x:c>
      <x:c r="H1" s="56" t="str">
        <x:v>Initial collection method</x:v>
      </x:c>
      <x:c r="I1" s="56" t="str">
        <x:v>Cautions / decisions</x:v>
      </x:c>
      <x:c r="J1" s="56" t="str">
        <x:v>Inventory status</x:v>
      </x:c>
      <x:c r="K1" s="56" t="str">
        <x:v>Robots / reuse check</x:v>
      </x:c>
      <x:c r="L1" s="56" t="str">
        <x:v>Last checked</x:v>
      </x:c>
    </x:row>
    <x:row r="2" ht="66" customHeight="1">
      <x:c r="A2" s="50" t="str">
        <x:v>HI-01</x:v>
      </x:c>
      <x:c r="B2" s="50" t="str">
        <x:v>Geoffrey Hinton</x:v>
      </x:c>
      <x:c r="C2" s="50" t="str">
        <x:v>Site map</x:v>
      </x:c>
      <x:c r="D2" s="50" t="str">
        <x:v>Homepage and navigation</x:v>
      </x:c>
      <x:c r="E2" s="50" t="str">
        <x:v>P1</x:v>
      </x:c>
      <x:c r="F2" s="50" t="str">
        <x:v>https://www.cs.toronto.edu/~hinton/index.html</x:v>
      </x:c>
      <x:c r="G2" s="50" t="str">
        <x:v>Section names; linked pages; page title; site-level canonical URL; visible update/copyright notice</x:v>
      </x:c>
      <x:c r="H2" s="50" t="str">
        <x:v>Parse homepage links; preserve link labels and destinations</x:v>
      </x:c>
      <x:c r="I2" s="50" t="str">
        <x:v>Use as discovery index, not as proof all linked content is reusable</x:v>
      </x:c>
      <x:c r="J2" s="50" t="str">
        <x:v>Mapped</x:v>
      </x:c>
      <x:c r="K2" s="50" t="str">
        <x:v>Verified: domain robots.txt sets Crawl-delay: 1; asset rights still need review</x:v>
      </x:c>
      <x:c r="L2" s="50" t="str">
        <x:v>2026-10-20</x:v>
      </x:c>
    </x:row>
    <x:row r="3" ht="66" customHeight="1">
      <x:c r="A3" s="50" t="str">
        <x:v>HI-02</x:v>
      </x:c>
      <x:c r="B3" s="50" t="str">
        <x:v>Geoffrey Hinton</x:v>
      </x:c>
      <x:c r="C3" s="50" t="str">
        <x:v>Research papers</x:v>
      </x:c>
      <x:c r="D3" s="50" t="str">
        <x:v>Master scientific publications list</x:v>
      </x:c>
      <x:c r="E3" s="50" t="str">
        <x:v>P1</x:v>
      </x:c>
      <x:c r="F3" s="50" t="str">
        <x:v>https://www.cs.toronto.edu/~hinton/pages/publications.html</x:v>
      </x:c>
      <x:c r="G3" s="50" t="str">
        <x:v>Title; authors; year; venue; paper URL; abstract/PDF links if present; topic tags</x:v>
      </x:c>
      <x:c r="H3" s="50" t="str">
        <x:v>Extract publication entries and outbound links; normalize author/year/title</x:v>
      </x:c>
      <x:c r="I3" s="50" t="str">
        <x:v>Topic labels are described as a work in progress; keep source-provided tags distinct from app-inferred tags</x:v>
      </x:c>
      <x:c r="J3" s="50" t="str">
        <x:v>Mapped</x:v>
      </x:c>
      <x:c r="K3" s="50" t="str">
        <x:v>Verified: domain robots.txt sets Crawl-delay: 1; asset rights still need review</x:v>
      </x:c>
      <x:c r="L3" s="50" t="str">
        <x:v>2026-10-20</x:v>
      </x:c>
    </x:row>
    <x:row r="4" ht="66" customHeight="1">
      <x:c r="A4" s="50" t="str">
        <x:v>HI-03</x:v>
      </x:c>
      <x:c r="B4" s="50" t="str">
        <x:v>Geoffrey Hinton</x:v>
      </x:c>
      <x:c r="C4" s="50" t="str">
        <x:v>Research topics</x:v>
      </x:c>
      <x:c r="D4" s="50" t="str">
        <x:v>Publications by topic</x:v>
      </x:c>
      <x:c r="E4" s="50" t="str">
        <x:v>P1</x:v>
      </x:c>
      <x:c r="F4" s="50" t="str">
        <x:v>https://www.cs.toronto.edu/~hinton/bytopics.html</x:v>
      </x:c>
      <x:c r="G4" s="50" t="str">
        <x:v>Topic label; associated publication titles; links back to canonical publication records</x:v>
      </x:c>
      <x:c r="H4" s="50" t="str">
        <x:v>Parse topic groups; link records to HI-02 by URL/title</x:v>
      </x:c>
      <x:c r="I4" s="50" t="str">
        <x:v>Do not treat topic classification as complete or authoritative</x:v>
      </x:c>
      <x:c r="J4" s="50" t="str">
        <x:v>Mapped</x:v>
      </x:c>
      <x:c r="K4" s="50" t="str">
        <x:v>Verified: domain robots.txt sets Crawl-delay: 1; asset rights still need review</x:v>
      </x:c>
      <x:c r="L4" s="50" t="str">
        <x:v>2026-10-20</x:v>
      </x:c>
    </x:row>
    <x:row r="5" ht="66" customHeight="1">
      <x:c r="A5" s="50" t="str">
        <x:v>HI-04</x:v>
      </x:c>
      <x:c r="B5" s="50" t="str">
        <x:v>Geoffrey Hinton</x:v>
      </x:c>
      <x:c r="C5" s="50" t="str">
        <x:v>Teaching</x:v>
      </x:c>
      <x:c r="D5" s="50" t="str">
        <x:v>Coursera Neural Networks for Machine Learning lecture index</x:v>
      </x:c>
      <x:c r="E5" s="50" t="str">
        <x:v>P1</x:v>
      </x:c>
      <x:c r="F5" s="50" t="str">
        <x:v>https://www.cs.toronto.edu/~hinton/coursera_lectures.html</x:v>
      </x:c>
      <x:c r="G5" s="50" t="str">
        <x:v>Lecture title; sequence; lecture URL; slide URL; format; duration if given; linked resources</x:v>
      </x:c>
      <x:c r="H5" s="50" t="str">
        <x:v>Parse lecture list and resource links; store metadata and link targets</x:v>
      </x:c>
      <x:c r="I5" s="50" t="str">
        <x:v>Index linked videos/slides first; separately verify reuse before copying files or transcripts</x:v>
      </x:c>
      <x:c r="J5" s="50" t="str">
        <x:v>Mapped</x:v>
      </x:c>
      <x:c r="K5" s="50" t="str">
        <x:v>Verified: domain robots.txt sets Crawl-delay: 1; asset rights still need review</x:v>
      </x:c>
      <x:c r="L5" s="50" t="str">
        <x:v>2026-10-20</x:v>
      </x:c>
    </x:row>
    <x:row r="6" ht="66" customHeight="1">
      <x:c r="A6" s="50" t="str">
        <x:v>HI-05</x:v>
      </x:c>
      <x:c r="B6" s="50" t="str">
        <x:v>Geoffrey Hinton</x:v>
      </x:c>
      <x:c r="C6" s="50" t="str">
        <x:v>Teaching</x:v>
      </x:c>
      <x:c r="D6" s="50" t="str">
        <x:v>University course pages</x:v>
      </x:c>
      <x:c r="E6" s="50" t="str">
        <x:v>P2</x:v>
      </x:c>
      <x:c r="F6" s="50" t="str">
        <x:v>https://www.cs.toronto.edu/~hinton/talks.html</x:v>
      </x:c>
      <x:c r="G6" s="50" t="str">
        <x:v>Course name; course code; level; term/year; lecture notes; assignment/reading links when public. Talks archive links to the 2013 graduate course and a separate-owner undergraduate archive.</x:v>
      </x:c>
      <x:c r="H6" s="50" t="str">
        <x:v>Discover the linked undergraduate and graduate course pages from homepage</x:v>
      </x:c>
      <x:c r="I6" s="50" t="str">
        <x:v>Legacy course pages may be maintained elsewhere; record outbound links first and do not recursively crawl the separate-owner course archive.</x:v>
      </x:c>
      <x:c r="J6" s="50" t="str">
        <x:v>Partial</x:v>
      </x:c>
      <x:c r="K6" s="50" t="str">
        <x:v>Verified: domain robots.txt sets Crawl-delay: 1; asset rights still need review</x:v>
      </x:c>
      <x:c r="L6" s="50" t="str">
        <x:v>2026-10-20</x:v>
      </x:c>
    </x:row>
    <x:row r="7" ht="66" customHeight="1">
      <x:c r="A7" s="50" t="str">
        <x:v>HI-06</x:v>
      </x:c>
      <x:c r="B7" s="50" t="str">
        <x:v>Geoffrey Hinton</x:v>
      </x:c>
      <x:c r="C7" s="50" t="str">
        <x:v>Teaching / tutorials</x:v>
      </x:c>
      <x:c r="D7" s="50" t="str">
        <x:v>Tutorials, slides, readings, and workshop materials</x:v>
      </x:c>
      <x:c r="E7" s="50" t="str">
        <x:v>P1</x:v>
      </x:c>
      <x:c r="F7" s="50" t="str">
        <x:v>https://www.cs.toronto.edu/~hinton/talks.html</x:v>
      </x:c>
      <x:c r="G7" s="50" t="str">
        <x:v>Tutorial title; year; subject; video/slide/PDF/readings URLs; format; associated paper</x:v>
      </x:c>
      <x:c r="H7" s="50" t="str">
        <x:v>Parse sections and all linked assets; record files without automatically redistributing them</x:v>
      </x:c>
      <x:c r="I7" s="50" t="str">
        <x:v>May include PowerPoint, PDF, PostScript, and video formats; review each asset's reuse terms</x:v>
      </x:c>
      <x:c r="J7" s="50" t="str">
        <x:v>Mapped</x:v>
      </x:c>
      <x:c r="K7" s="50" t="str">
        <x:v>Verified: domain robots.txt sets Crawl-delay: 1; asset rights still need review</x:v>
      </x:c>
      <x:c r="L7" s="50" t="str">
        <x:v>2026-10-20</x:v>
      </x:c>
    </x:row>
    <x:row r="8" ht="66" customHeight="1">
      <x:c r="A8" s="50" t="str">
        <x:v>HI-07</x:v>
      </x:c>
      <x:c r="B8" s="50" t="str">
        <x:v>Geoffrey Hinton</x:v>
      </x:c>
      <x:c r="C8" s="50" t="str">
        <x:v>Talks</x:v>
      </x:c>
      <x:c r="D8" s="50" t="str">
        <x:v>Public talks and talk slides archive</x:v>
      </x:c>
      <x:c r="E8" s="50" t="str">
        <x:v>P1</x:v>
      </x:c>
      <x:c r="F8" s="50" t="str">
        <x:v>https://www.cs.toronto.edu/~hinton/talks.html</x:v>
      </x:c>
      <x:c r="G8" s="50" t="str">
        <x:v>Talk title; date/year; venue if shown; description; slide links; video links; related paper</x:v>
      </x:c>
      <x:c r="H8" s="50" t="str">
        <x:v>Extract talk entries and slide variants; deduplicate repeated talks</x:v>
      </x:c>
      <x:c r="I8" s="50" t="str">
        <x:v>A linked talk may be hosted externally; initial scope is metadata and source links</x:v>
      </x:c>
      <x:c r="J8" s="50" t="str">
        <x:v>Mapped</x:v>
      </x:c>
      <x:c r="K8" s="50" t="str">
        <x:v>Verified: domain robots.txt sets Crawl-delay: 1; asset rights still need review</x:v>
      </x:c>
      <x:c r="L8" s="50" t="str">
        <x:v>2026-10-20</x:v>
      </x:c>
    </x:row>
    <x:row r="9" ht="66" customHeight="1">
      <x:c r="A9" s="50" t="str">
        <x:v>HI-08</x:v>
      </x:c>
      <x:c r="B9" s="50" t="str">
        <x:v>Geoffrey Hinton</x:v>
      </x:c>
      <x:c r="C9" s="50" t="str">
        <x:v>Media / interviews</x:v>
      </x:c>
      <x:c r="D9" s="50" t="str">
        <x:v>Video appearances</x:v>
      </x:c>
      <x:c r="E9" s="50" t="str">
        <x:v>P2</x:v>
      </x:c>
      <x:c r="F9" s="50" t="str">
        <x:v>https://www.cs.toronto.edu/~hinton/pages/media/video.html</x:v>
      </x:c>
      <x:c r="G9" s="50" t="str">
        <x:v>Interview/video title; date; publisher; URL; description; timestamped transcript availability</x:v>
      </x:c>
      <x:c r="H9" s="50" t="str">
        <x:v>Index video records; use provider APIs/captions only where permitted</x:v>
      </x:c>
      <x:c r="I9" s="50" t="str">
        <x:v>Do not download/re-host video; external platform rules apply</x:v>
      </x:c>
      <x:c r="J9" s="50" t="str">
        <x:v>Mapped</x:v>
      </x:c>
      <x:c r="K9" s="50" t="str">
        <x:v>Verified: domain robots.txt sets Crawl-delay: 1; asset rights still need review</x:v>
      </x:c>
      <x:c r="L9" s="50" t="str">
        <x:v>2026-10-20</x:v>
      </x:c>
    </x:row>
    <x:row r="10" ht="66" customHeight="1">
      <x:c r="A10" s="50" t="str">
        <x:v>HI-09</x:v>
      </x:c>
      <x:c r="B10" s="50" t="str">
        <x:v>Geoffrey Hinton</x:v>
      </x:c>
      <x:c r="C10" s="50" t="str">
        <x:v>Media / interviews</x:v>
      </x:c>
      <x:c r="D10" s="50" t="str">
        <x:v>Print appearances</x:v>
      </x:c>
      <x:c r="E10" s="50" t="str">
        <x:v>P2</x:v>
      </x:c>
      <x:c r="F10" s="50" t="str">
        <x:v>https://www.cs.toronto.edu/~hinton/pages/media/print.html</x:v>
      </x:c>
      <x:c r="G10" s="50" t="str">
        <x:v>Article/headline; outlet; date; author if known; URL; subject</x:v>
      </x:c>
      <x:c r="H10" s="50" t="str">
        <x:v>Index links and visible metadata</x:v>
      </x:c>
      <x:c r="I10" s="50" t="str">
        <x:v>Full article text may be copyrighted or paywalled; retain links and brief metadata by default</x:v>
      </x:c>
      <x:c r="J10" s="50" t="str">
        <x:v>Mapped</x:v>
      </x:c>
      <x:c r="K10" s="50" t="str">
        <x:v>Verified: domain robots.txt sets Crawl-delay: 1; asset rights still need review</x:v>
      </x:c>
      <x:c r="L10" s="50" t="str">
        <x:v>2026-10-20</x:v>
      </x:c>
    </x:row>
    <x:row r="11" ht="66" customHeight="1">
      <x:c r="A11" s="50" t="str">
        <x:v>HI-10</x:v>
      </x:c>
      <x:c r="B11" s="50" t="str">
        <x:v>Geoffrey Hinton</x:v>
      </x:c>
      <x:c r="C11" s="50" t="str">
        <x:v>Media / interviews</x:v>
      </x:c>
      <x:c r="D11" s="50" t="str">
        <x:v>Podcasts</x:v>
      </x:c>
      <x:c r="E11" s="50" t="str">
        <x:v>P2</x:v>
      </x:c>
      <x:c r="F11" s="50" t="str">
        <x:v>https://www.cs.toronto.edu/~hinton/pages/media/podcasts.html</x:v>
      </x:c>
      <x:c r="G11" s="50" t="str">
        <x:v>Episode title; show; date; URL; episode summary; transcript/caption availability</x:v>
      </x:c>
      <x:c r="H11" s="50" t="str">
        <x:v>Index episodes and source links</x:v>
      </x:c>
      <x:c r="I11" s="50" t="str">
        <x:v>Transcript collection depends on availability, platform terms, and rights</x:v>
      </x:c>
      <x:c r="J11" s="50" t="str">
        <x:v>Mapped</x:v>
      </x:c>
      <x:c r="K11" s="50" t="str">
        <x:v>Verified: domain robots.txt sets Crawl-delay: 1; asset rights still need review</x:v>
      </x:c>
      <x:c r="L11" s="50" t="str">
        <x:v>2026-10-20</x:v>
      </x:c>
    </x:row>
    <x:row r="12" ht="66" customHeight="1">
      <x:c r="A12" s="50" t="str">
        <x:v>HI-11</x:v>
      </x:c>
      <x:c r="B12" s="50" t="str">
        <x:v>Geoffrey Hinton</x:v>
      </x:c>
      <x:c r="C12" s="50" t="str">
        <x:v>Biography</x:v>
      </x:c>
      <x:c r="D12" s="50" t="str">
        <x:v>Biography, CV, awards, and profile details</x:v>
      </x:c>
      <x:c r="E12" s="50" t="str">
        <x:v>P2</x:v>
      </x:c>
      <x:c r="F12" s="50" t="str">
        <x:v>https://www.cs.toronto.edu/~hinton/index.html</x:v>
      </x:c>
      <x:c r="G12" s="50" t="str">
        <x:v>Bio text; roles/affiliations; milestone dates; awards; CV URL; source timestamp</x:v>
      </x:c>
      <x:c r="H12" s="50" t="str">
        <x:v>Extract public biographical metadata; store source URL for every claim</x:v>
      </x:c>
      <x:c r="I12" s="50" t="str">
        <x:v>Keep dates and claims source-backed; do not copy profile photos by default</x:v>
      </x:c>
      <x:c r="J12" s="50" t="str">
        <x:v>Partial</x:v>
      </x:c>
      <x:c r="K12" s="50" t="str">
        <x:v>Verified: domain robots.txt sets Crawl-delay: 1; asset rights still need review</x:v>
      </x:c>
      <x:c r="L12" s="50" t="str">
        <x:v>2026-10-20</x:v>
      </x:c>
    </x:row>
    <x:row r="13" ht="66" customHeight="1">
      <x:c r="A13" s="50" t="str">
        <x:v>HI-12</x:v>
      </x:c>
      <x:c r="B13" s="50" t="str">
        <x:v>Geoffrey Hinton</x:v>
      </x:c>
      <x:c r="C13" s="50" t="str">
        <x:v>Code / demonstrations</x:v>
      </x:c>
      <x:c r="D13" s="50" t="str">
        <x:v>Software, code, movies, and miscellaneous resources</x:v>
      </x:c>
      <x:c r="E13" s="50" t="str">
        <x:v>P3</x:v>
      </x:c>
      <x:c r="F13" s="50" t="str">
        <x:v>https://www.cs.toronto.edu/~hinton/talks.html</x:v>
      </x:c>
      <x:c r="G13" s="50" t="str">
        <x:v>Resource title; purpose; programming language; repository/download URL; associated paper or lecture</x:v>
      </x:c>
      <x:c r="H13" s="50" t="str">
        <x:v>Record title/description/link only; assess individually before downloading</x:v>
      </x:c>
      <x:c r="I13" s="50" t="str">
        <x:v>Legacy code and binaries may have unclear licenses or obsolete dependencies</x:v>
      </x:c>
      <x:c r="J13" s="50" t="str">
        <x:v>Partial</x:v>
      </x:c>
      <x:c r="K13" s="50" t="str">
        <x:v>Verified: domain robots.txt sets Crawl-delay: 1; asset rights still need review</x:v>
      </x:c>
      <x:c r="L13" s="50" t="str">
        <x:v>2026-10-20</x:v>
      </x:c>
    </x:row>
    <x:row r="14" ht="66" customHeight="1">
      <x:c r="A14" s="50" t="str">
        <x:v>HI-13</x:v>
      </x:c>
      <x:c r="B14" s="50" t="str">
        <x:v>Geoffrey Hinton</x:v>
      </x:c>
      <x:c r="C14" s="50" t="str">
        <x:v>Research network</x:v>
      </x:c>
      <x:c r="D14" s="50" t="str">
        <x:v>Former students, postdocs, and supervision records</x:v>
      </x:c>
      <x:c r="E14" s="50" t="str">
        <x:v>P3</x:v>
      </x:c>
      <x:c r="F14" s="50" t="str">
        <x:v>https://www.cs.toronto.edu/~hinton/pages/students/postdocs.html</x:v>
      </x:c>
      <x:c r="G14" s="50" t="str">
        <x:v>Name; relationship/category; dates if public; related papers or profiles</x:v>
      </x:c>
      <x:c r="H14" s="50" t="str">
        <x:v>Optional metadata inventory only</x:v>
      </x:c>
      <x:c r="I14" s="50" t="str">
        <x:v>Defer unless people/research-network features become a product requirement</x:v>
      </x:c>
      <x:c r="J14" s="50" t="str">
        <x:v>Mapped</x:v>
      </x:c>
      <x:c r="K14" s="50" t="str">
        <x:v>Verified: domain robots.txt sets Crawl-delay: 1; asset rights still need review</x:v>
      </x:c>
      <x:c r="L14" s="50" t="str">
        <x:v>2026-10-20</x:v>
      </x:c>
    </x:row>
    <x:row r="15" ht="66" customHeight="1">
      <x:c r="A15" s="50" t="str">
        <x:v>YB-01</x:v>
      </x:c>
      <x:c r="B15" s="50" t="str">
        <x:v>Yoshua Bengio</x:v>
      </x:c>
      <x:c r="C15" s="50" t="str">
        <x:v>Site map / news</x:v>
      </x:c>
      <x:c r="D15" s="50" t="str">
        <x:v>Homepage and featured news</x:v>
      </x:c>
      <x:c r="E15" s="50" t="str">
        <x:v>P1</x:v>
      </x:c>
      <x:c r="F15" s="50" t="str">
        <x:v>https://yoshuabengio.org/en</x:v>
      </x:c>
      <x:c r="G15" s="50" t="str">
        <x:v>Section name; featured item title; date; teaser; first-party URL; external destination URL</x:v>
      </x:c>
      <x:c r="H15" s="50" t="str">
        <x:v>Parse homepage cards and navigation; preserve both site page and outbound link</x:v>
      </x:c>
      <x:c r="I15" s="50" t="str">
        <x:v>Featured items can point to third-party publishers; do not assume their content is available for collection</x:v>
      </x:c>
      <x:c r="J15" s="50" t="str">
        <x:v>Mapped</x:v>
      </x:c>
      <x:c r="K15" s="50" t="str">
        <x:v>Unverified: robots endpoint not retrievable in this research pass; rights review pending</x:v>
      </x:c>
      <x:c r="L15" s="50" t="str">
        <x:v>2026-10-20</x:v>
      </x:c>
    </x:row>
    <x:row r="16" ht="66" customHeight="1">
      <x:c r="A16" s="50" t="str">
        <x:v>YB-02</x:v>
      </x:c>
      <x:c r="B16" s="50" t="str">
        <x:v>Yoshua Bengio</x:v>
      </x:c>
      <x:c r="C16" s="50" t="str">
        <x:v>Research overview</x:v>
      </x:c>
      <x:c r="D16" s="50" t="str">
        <x:v>Research areas and key publications</x:v>
      </x:c>
      <x:c r="E16" s="50" t="str">
        <x:v>P1</x:v>
      </x:c>
      <x:c r="F16" s="50" t="str">
        <x:v>https://yoshuabengio.org/en/research</x:v>
      </x:c>
      <x:c r="G16" s="50" t="str">
        <x:v>Research area headings; descriptive text; key-paper title/authors/date; abstract/summary; paper URL</x:v>
      </x:c>
      <x:c r="H16" s="50" t="str">
        <x:v>Parse visible content and key publication cards</x:v>
      </x:c>
      <x:c r="I16" s="50" t="str">
        <x:v>Separate Bengio's own statements from the app's explanatory summaries</x:v>
      </x:c>
      <x:c r="J16" s="50" t="str">
        <x:v>Mapped</x:v>
      </x:c>
      <x:c r="K16" s="50" t="str">
        <x:v>Unverified: robots endpoint not retrievable in this research pass; rights review pending</x:v>
      </x:c>
      <x:c r="L16" s="50" t="str">
        <x:v>2026-10-20</x:v>
      </x:c>
    </x:row>
    <x:row r="17" ht="66" customHeight="1">
      <x:c r="A17" s="50" t="str">
        <x:v>YB-03</x:v>
      </x:c>
      <x:c r="B17" s="50" t="str">
        <x:v>Yoshua Bengio</x:v>
      </x:c>
      <x:c r="C17" s="50" t="str">
        <x:v>Research papers</x:v>
      </x:c>
      <x:c r="D17" s="50" t="str">
        <x:v>Publication listings and publication detail pages</x:v>
      </x:c>
      <x:c r="E17" s="50" t="str">
        <x:v>P1</x:v>
      </x:c>
      <x:c r="F17" s="50" t="str">
        <x:v>https://yoshuabengio.org/en/research</x:v>
      </x:c>
      <x:c r="G17" s="50" t="str">
        <x:v>Title; authors; published date; summary/abstract; first-party detail URL; DOI/arXiv/report ID; PDF/link metadata</x:v>
      </x:c>
      <x:c r="H17" s="50" t="str">
        <x:v>Enumerate detail-page URLs from research/list pages; parse each first-party publication record</x:v>
      </x:c>
      <x:c r="I17" s="50" t="str">
        <x:v>The page also links to external publication indexes; verify each destination and each file's rights separately</x:v>
      </x:c>
      <x:c r="J17" s="50" t="str">
        <x:v>Partial</x:v>
      </x:c>
      <x:c r="K17" s="50" t="str">
        <x:v>Unverified: robots endpoint not retrievable in this research pass; rights review pending</x:v>
      </x:c>
      <x:c r="L17" s="50" t="str">
        <x:v>2026-10-20</x:v>
      </x:c>
    </x:row>
    <x:row r="18" ht="66" customHeight="1">
      <x:c r="A18" s="50" t="str">
        <x:v>YB-04</x:v>
      </x:c>
      <x:c r="B18" s="50" t="str">
        <x:v>Yoshua Bengio</x:v>
      </x:c>
      <x:c r="C18" s="50" t="str">
        <x:v>Articles / blog</x:v>
      </x:c>
      <x:c r="D18" s="50" t="str">
        <x:v>Blog index, categories, and pagination</x:v>
      </x:c>
      <x:c r="E18" s="50" t="str">
        <x:v>P1</x:v>
      </x:c>
      <x:c r="F18" s="50" t="str">
        <x:v>https://yoshuabengio.org/en/blog</x:v>
      </x:c>
      <x:c r="G18" s="50" t="str">
        <x:v>Article URL; title; author; publication date; category; teaser; pagination cursor/page</x:v>
      </x:c>
      <x:c r="H18" s="50" t="str">
        <x:v>Enumerate index pages and category filters; deduplicate canonical article URLs</x:v>
      </x:c>
      <x:c r="I18" s="50" t="str">
        <x:v>Categories observed include AI for Social Good, AI safety, COVID-19, Climate change, Publication, Research</x:v>
      </x:c>
      <x:c r="J18" s="50" t="str">
        <x:v>Mapped</x:v>
      </x:c>
      <x:c r="K18" s="50" t="str">
        <x:v>Unverified: robots endpoint not retrievable in this research pass; rights review pending</x:v>
      </x:c>
      <x:c r="L18" s="50" t="str">
        <x:v>2026-10-20</x:v>
      </x:c>
    </x:row>
    <x:row r="19" ht="66" customHeight="1">
      <x:c r="A19" s="50" t="str">
        <x:v>YB-05</x:v>
      </x:c>
      <x:c r="B19" s="50" t="str">
        <x:v>Yoshua Bengio</x:v>
      </x:c>
      <x:c r="C19" s="50" t="str">
        <x:v>Articles / blog</x:v>
      </x:c>
      <x:c r="D19" s="50" t="str">
        <x:v>Individual blog posts and essays</x:v>
      </x:c>
      <x:c r="E19" s="50" t="str">
        <x:v>P1</x:v>
      </x:c>
      <x:c r="F19" s="50" t="str">
        <x:v>https://yoshuabengio.org/en/blog?page=1</x:v>
      </x:c>
      <x:c r="G19" s="50" t="str">
        <x:v>Title; author; published date; category; body text where permitted; cited URLs; key claims; related concepts</x:v>
      </x:c>
      <x:c r="H19" s="50" t="str">
        <x:v>Parse individual first-party article pages; preserve post date and outbound references</x:v>
      </x:c>
      <x:c r="I19" s="50" t="str">
        <x:v>Blog includes commentary/op-eds that may link to third-party publications; distinguish post text from linked article text</x:v>
      </x:c>
      <x:c r="J19" s="50" t="str">
        <x:v>Partial</x:v>
      </x:c>
      <x:c r="K19" s="50" t="str">
        <x:v>Unverified: robots endpoint not retrievable in this research pass; rights review pending</x:v>
      </x:c>
      <x:c r="L19" s="50" t="str">
        <x:v>2026-10-20</x:v>
      </x:c>
    </x:row>
    <x:row r="20" ht="66" customHeight="1">
      <x:c r="A20" s="50" t="str">
        <x:v>YB-06</x:v>
      </x:c>
      <x:c r="B20" s="50" t="str">
        <x:v>Yoshua Bengio</x:v>
      </x:c>
      <x:c r="C20" s="50" t="str">
        <x:v>Reports / publication pages</x:v>
      </x:c>
      <x:c r="D20" s="50" t="str">
        <x:v>International Scientific Report on the Safety of Advanced AI — first-party article pointer</x:v>
      </x:c>
      <x:c r="E20" s="50" t="str">
        <x:v>P1</x:v>
      </x:c>
      <x:c r="F20" s="50" t="str">
        <x:v>https://yoshuabengio.org/en/blog/international-scientific-report-safety-advanced-ai</x:v>
      </x:c>
      <x:c r="G20" s="50" t="str">
        <x:v>Report title; authors/contributors; publication date; report summary; official report URL; identifiers; document formats</x:v>
      </x:c>
      <x:c r="H20" s="50" t="str">
        <x:v>Index the page, report metadata, and official document link; fetch full text only if permitted</x:v>
      </x:c>
      <x:c r="I20" s="50" t="str">
        <x:v>The first-party page is a blog/article pointer; the report itself is hosted separately and must be treated as an external source with its own reuse terms.</x:v>
      </x:c>
      <x:c r="J20" s="50" t="str">
        <x:v>Mapped</x:v>
      </x:c>
      <x:c r="K20" s="50" t="str">
        <x:v>Unverified: robots endpoint not retrievable in this research pass; rights review pending</x:v>
      </x:c>
      <x:c r="L20" s="50" t="str">
        <x:v>2026-10-20</x:v>
      </x:c>
    </x:row>
    <x:row r="21" ht="66" customHeight="1">
      <x:c r="A21" s="50" t="str">
        <x:v>YB-07</x:v>
      </x:c>
      <x:c r="B21" s="50" t="str">
        <x:v>Yoshua Bengio</x:v>
      </x:c>
      <x:c r="C21" s="50" t="str">
        <x:v>Talks / public appearances</x:v>
      </x:c>
      <x:c r="D21" s="50" t="str">
        <x:v>Talks, speeches, interviews, and TED/media links surfaced on the site</x:v>
      </x:c>
      <x:c r="E21" s="50" t="str">
        <x:v>P2</x:v>
      </x:c>
      <x:c r="F21" s="50" t="str">
        <x:v>https://yoshuabengio.org/en</x:v>
      </x:c>
      <x:c r="G21" s="50" t="str">
        <x:v>Event/talk title; date; context; format; original first-party page; video/transcript links</x:v>
      </x:c>
      <x:c r="H21" s="50" t="str">
        <x:v>Use homepage and blog posts as discovery indexes; record external destinations</x:v>
      </x:c>
      <x:c r="I21" s="50" t="str">
        <x:v>External video/news content is out of initial crawl scope unless separately approved</x:v>
      </x:c>
      <x:c r="J21" s="50" t="str">
        <x:v>Partial</x:v>
      </x:c>
      <x:c r="K21" s="50" t="str">
        <x:v>Unverified: robots endpoint not retrievable in this research pass; rights review pending</x:v>
      </x:c>
      <x:c r="L21" s="50" t="str">
        <x:v>2026-10-20</x:v>
      </x:c>
    </x:row>
    <x:row r="22" ht="66" customHeight="1">
      <x:c r="A22" s="50" t="str">
        <x:v>YB-08</x:v>
      </x:c>
      <x:c r="B22" s="50" t="str">
        <x:v>Yoshua Bengio</x:v>
      </x:c>
      <x:c r="C22" s="50" t="str">
        <x:v>Biography / affiliations</x:v>
      </x:c>
      <x:c r="D22" s="50" t="str">
        <x:v>Biography, positions, awards, and organizations</x:v>
      </x:c>
      <x:c r="E22" s="50" t="str">
        <x:v>P2</x:v>
      </x:c>
      <x:c r="F22" s="50" t="str">
        <x:v>https://yoshuabengio.org/en</x:v>
      </x:c>
      <x:c r="G22" s="50" t="str">
        <x:v>Biography text; roles; institutions; dated milestones; awards; source URL; last checked</x:v>
      </x:c>
      <x:c r="H22" s="50" t="str">
        <x:v>Extract public factual metadata from first-party profile and linked bio where needed</x:v>
      </x:c>
      <x:c r="I22" s="50" t="str">
        <x:v>Prefer dated statements and official source links; affiliations can change over time</x:v>
      </x:c>
      <x:c r="J22" s="50" t="str">
        <x:v>Mapped</x:v>
      </x:c>
      <x:c r="K22" s="50" t="str">
        <x:v>Unverified: robots endpoint not retrievable in this research pass; rights review pending</x:v>
      </x:c>
      <x:c r="L22" s="50" t="str">
        <x:v>2026-10-20</x:v>
      </x:c>
    </x:row>
    <x:row r="23" ht="66" customHeight="1">
      <x:c r="A23" s="50" t="str">
        <x:v>YB-09</x:v>
      </x:c>
      <x:c r="B23" s="50" t="str">
        <x:v>Yoshua Bengio</x:v>
      </x:c>
      <x:c r="C23" s="50" t="str">
        <x:v>Outbound reference links</x:v>
      </x:c>
      <x:c r="D23" s="50" t="str">
        <x:v>External op-eds, reports, organizations, and cited sources</x:v>
      </x:c>
      <x:c r="E23" s="50" t="str">
        <x:v>P2</x:v>
      </x:c>
      <x:c r="F23" s="50" t="str">
        <x:v>https://yoshuabengio.org/en/blog</x:v>
      </x:c>
      <x:c r="G23" s="50" t="str">
        <x:v>Anchor title; destination URL; external domain; relation to post; publication date if shown</x:v>
      </x:c>
      <x:c r="H23" s="50" t="str">
        <x:v>Collect outgoing URLs and source relationships only in the first pass</x:v>
      </x:c>
      <x:c r="I23" s="50" t="str">
        <x:v>Treat each external domain as a separate future connector and policy review; do not recursively crawl</x:v>
      </x:c>
      <x:c r="J23" s="50" t="str">
        <x:v>Partial</x:v>
      </x:c>
      <x:c r="K23" s="50" t="str">
        <x:v>Unverified: robots endpoint not retrievable in this research pass; rights review pending</x:v>
      </x:c>
      <x:c r="L23" s="50" t="str">
        <x:v>2026-10-20</x:v>
      </x:c>
    </x:row>
  </x:sheetData>
  <x:dataValidations count="3">
    <x:dataValidation type="list" sqref="E2:E22">
      <x:formula1>"P1,P2,P3"</x:formula1>
    </x:dataValidation>
    <x:dataValidation type="list" sqref="J2:J22">
      <x:formula1>"Mapped,Partial,Unverified,Ready for crawl"</x:formula1>
    </x:dataValidation>
    <x:dataValidation type="list" sqref="K2:K22">
      <x:formula1>"Pending,Checked - allowed,Checked - restricted,Needs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2f2c3a25864b4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6" hidden="0" customWidth="1"/>
    <x:col min="4" max="4" width="58" hidden="0" customWidth="1"/>
    <x:col min="5" max="5" width="48" hidden="0" customWidth="1"/>
  </x:cols>
  <x:sheetData>
    <x:row r="1" ht="32" customHeight="1">
      <x:c r="A1" s="60" t="str">
        <x:v>Field</x:v>
      </x:c>
      <x:c r="B1" s="60" t="str">
        <x:v>Required for first pass?</x:v>
      </x:c>
      <x:c r="C1" s="60" t="str">
        <x:v>Applies to</x:v>
      </x:c>
      <x:c r="D1" s="60" t="str">
        <x:v>Meaning / guidance</x:v>
      </x:c>
      <x:c r="E1" s="60" t="str">
        <x:v>Example / constraint</x:v>
      </x:c>
    </x:row>
    <x:row r="2" ht="42" customHeight="1">
      <x:c r="A2" s="50" t="str">
        <x:v>record_id</x:v>
      </x:c>
      <x:c r="B2" s="50" t="str">
        <x:v>Yes</x:v>
      </x:c>
      <x:c r="C2" s="50" t="str">
        <x:v>All</x:v>
      </x:c>
      <x:c r="D2" s="50" t="str">
        <x:v>Stable internal ID for this inventoried document or resource.</x:v>
      </x:c>
      <x:c r="E2" s="50" t="str">
        <x:v>UUID or deterministic ID; do not use the title alone</x:v>
      </x:c>
    </x:row>
    <x:row r="3" ht="42" customHeight="1">
      <x:c r="A3" s="50" t="str">
        <x:v>source_person</x:v>
      </x:c>
      <x:c r="B3" s="50" t="str">
        <x:v>Yes</x:v>
      </x:c>
      <x:c r="C3" s="50" t="str">
        <x:v>All</x:v>
      </x:c>
      <x:c r="D3" s="50" t="str">
        <x:v>Researcher/person whose site surfaced the item.</x:v>
      </x:c>
      <x:c r="E3" s="50" t="str">
        <x:v>Geoffrey Hinton; Yoshua Bengio</x:v>
      </x:c>
    </x:row>
    <x:row r="4" ht="42" customHeight="1">
      <x:c r="A4" s="50" t="str">
        <x:v>source_domain</x:v>
      </x:c>
      <x:c r="B4" s="50" t="str">
        <x:v>Yes</x:v>
      </x:c>
      <x:c r="C4" s="50" t="str">
        <x:v>All</x:v>
      </x:c>
      <x:c r="D4" s="50" t="str">
        <x:v>Domain where the record was discovered.</x:v>
      </x:c>
      <x:c r="E4" s="50" t="str">
        <x:v>cs.toronto.edu; yoshuabengio.org</x:v>
      </x:c>
    </x:row>
    <x:row r="5" ht="42" customHeight="1">
      <x:c r="A5" s="50" t="str">
        <x:v>source_page_url</x:v>
      </x:c>
      <x:c r="B5" s="50" t="str">
        <x:v>Yes</x:v>
      </x:c>
      <x:c r="C5" s="50" t="str">
        <x:v>All</x:v>
      </x:c>
      <x:c r="D5" s="50" t="str">
        <x:v>First-party page where the link or content was found.</x:v>
      </x:c>
      <x:c r="E5" s="50" t="str">
        <x:v>Keep as provenance even if canonical URL differs</x:v>
      </x:c>
    </x:row>
    <x:row r="6" ht="42" customHeight="1">
      <x:c r="A6" s="50" t="str">
        <x:v>canonical_url</x:v>
      </x:c>
      <x:c r="B6" s="50" t="str">
        <x:v>Yes</x:v>
      </x:c>
      <x:c r="C6" s="50" t="str">
        <x:v>All</x:v>
      </x:c>
      <x:c r="D6" s="50" t="str">
        <x:v>Best known canonical URL for the item; de-duplicate equivalent URL variants.</x:v>
      </x:c>
      <x:c r="E6" s="50" t="str">
        <x:v>Normalize fragments/tracking parameters cautiously</x:v>
      </x:c>
    </x:row>
    <x:row r="7" ht="42" customHeight="1">
      <x:c r="A7" s="50" t="str">
        <x:v>title</x:v>
      </x:c>
      <x:c r="B7" s="50" t="str">
        <x:v>Yes</x:v>
      </x:c>
      <x:c r="C7" s="50" t="str">
        <x:v>All</x:v>
      </x:c>
      <x:c r="D7" s="50" t="str">
        <x:v>Original title/headline/course/talk/resource name.</x:v>
      </x:c>
      <x:c r="E7" s="50" t="str">
        <x:v>Preserve source title; do not replace with AI-generated summary</x:v>
      </x:c>
    </x:row>
    <x:row r="8" ht="42" customHeight="1">
      <x:c r="A8" s="50" t="str">
        <x:v>content_type</x:v>
      </x:c>
      <x:c r="B8" s="50" t="str">
        <x:v>Yes</x:v>
      </x:c>
      <x:c r="C8" s="50" t="str">
        <x:v>All</x:v>
      </x:c>
      <x:c r="D8" s="50" t="str">
        <x:v>Controlled category for the source item.</x:v>
      </x:c>
      <x:c r="E8" s="50" t="str">
        <x:v>paper, blog_post, lecture, talk, interview, report, biography, code, other</x:v>
      </x:c>
    </x:row>
    <x:row r="9" ht="42" customHeight="1">
      <x:c r="A9" s="50" t="str">
        <x:v>authors_or_speakers</x:v>
      </x:c>
      <x:c r="B9" s="50" t="str">
        <x:v>Where available</x:v>
      </x:c>
      <x:c r="C9" s="50" t="str">
        <x:v>Papers / articles / talks</x:v>
      </x:c>
      <x:c r="D9" s="50" t="str">
        <x:v>Names as shown by source; keep author order where possible.</x:v>
      </x:c>
      <x:c r="E9" s="50" t="str">
        <x:v>Store as separate related records or structured array</x:v>
      </x:c>
    </x:row>
    <x:row r="10" ht="42" customHeight="1">
      <x:c r="A10" s="50" t="str">
        <x:v>published_at</x:v>
      </x:c>
      <x:c r="B10" s="50" t="str">
        <x:v>Where available</x:v>
      </x:c>
      <x:c r="C10" s="50" t="str">
        <x:v>Papers / articles / talks / reports</x:v>
      </x:c>
      <x:c r="D10" s="50" t="str">
        <x:v>Original publication or event date; leave null if unknown.</x:v>
      </x:c>
      <x:c r="E10" s="50" t="str">
        <x:v>ISO date YYYY-MM-DD where precise</x:v>
      </x:c>
    </x:row>
    <x:row r="11" ht="42" customHeight="1">
      <x:c r="A11" s="50" t="str">
        <x:v>year</x:v>
      </x:c>
      <x:c r="B11" s="50" t="str">
        <x:v>Where available</x:v>
      </x:c>
      <x:c r="C11" s="50" t="str">
        <x:v>Older listings</x:v>
      </x:c>
      <x:c r="D11" s="50" t="str">
        <x:v>Year extracted from source when exact date is not available.</x:v>
      </x:c>
      <x:c r="E11" s="50" t="str">
        <x:v>Do not fabricate month/day</x:v>
      </x:c>
    </x:row>
    <x:row r="12" ht="42" customHeight="1">
      <x:c r="A12" s="50" t="str">
        <x:v>abstract_or_teaser</x:v>
      </x:c>
      <x:c r="B12" s="50" t="str">
        <x:v>When shown</x:v>
      </x:c>
      <x:c r="C12" s="50" t="str">
        <x:v>Papers / posts / reports</x:v>
      </x:c>
      <x:c r="D12" s="50" t="str">
        <x:v>Original abstract, summary, or teaser where permitted.</x:v>
      </x:c>
      <x:c r="E12" s="50" t="str">
        <x:v>Label type as abstract vs publisher teaser</x:v>
      </x:c>
    </x:row>
    <x:row r="13" ht="42" customHeight="1">
      <x:c r="A13" s="50" t="str">
        <x:v>topics_source</x:v>
      </x:c>
      <x:c r="B13" s="50" t="str">
        <x:v>When shown</x:v>
      </x:c>
      <x:c r="C13" s="50" t="str">
        <x:v>All</x:v>
      </x:c>
      <x:c r="D13" s="50" t="str">
        <x:v>Topic/category labels explicitly supplied by source.</x:v>
      </x:c>
      <x:c r="E13" s="50" t="str">
        <x:v>Keep distinct from app-generated tags</x:v>
      </x:c>
    </x:row>
    <x:row r="14" ht="42" customHeight="1">
      <x:c r="A14" s="50" t="str">
        <x:v>topics_inferred</x:v>
      </x:c>
      <x:c r="B14" s="50" t="str">
        <x:v>Optional later</x:v>
      </x:c>
      <x:c r="C14" s="50" t="str">
        <x:v>All</x:v>
      </x:c>
      <x:c r="D14" s="50" t="str">
        <x:v>Application-assigned normalized concept tags.</x:v>
      </x:c>
      <x:c r="E14" s="50" t="str">
        <x:v>Store model/version and confidence if AI generated</x:v>
      </x:c>
    </x:row>
    <x:row r="15" ht="42" customHeight="1">
      <x:c r="A15" s="50" t="str">
        <x:v>external_identifiers</x:v>
      </x:c>
      <x:c r="B15" s="50" t="str">
        <x:v>When available</x:v>
      </x:c>
      <x:c r="C15" s="50" t="str">
        <x:v>Papers / reports</x:v>
      </x:c>
      <x:c r="D15" s="50" t="str">
        <x:v>DOI, arXiv ID, ISBN, repository ID, official report ID.</x:v>
      </x:c>
      <x:c r="E15" s="50" t="str">
        <x:v>Identifiers should be validated before joining sources</x:v>
      </x:c>
    </x:row>
    <x:row r="16" ht="42" customHeight="1">
      <x:c r="A16" s="50" t="str">
        <x:v>resource_links</x:v>
      </x:c>
      <x:c r="B16" s="50" t="str">
        <x:v>Yes</x:v>
      </x:c>
      <x:c r="C16" s="50" t="str">
        <x:v>All</x:v>
      </x:c>
      <x:c r="D16" s="50" t="str">
        <x:v>Links to PDF, slides, video, code, datasets, or related resources.</x:v>
      </x:c>
      <x:c r="E16" s="50" t="str">
        <x:v>Record URL, link label, format, host domain; no automatic download</x:v>
      </x:c>
    </x:row>
    <x:row r="17" ht="42" customHeight="1">
      <x:c r="A17" s="50" t="str">
        <x:v>content_capture_status</x:v>
      </x:c>
      <x:c r="B17" s="50" t="str">
        <x:v>Yes</x:v>
      </x:c>
      <x:c r="C17" s="50" t="str">
        <x:v>All</x:v>
      </x:c>
      <x:c r="D17" s="50" t="str">
        <x:v>Whether only metadata, excerpts, full text, or transcript is held.</x:v>
      </x:c>
      <x:c r="E17" s="50" t="str">
        <x:v>metadata_only, excerpt, full_text, transcript, inaccessible</x:v>
      </x:c>
    </x:row>
    <x:row r="18" ht="42" customHeight="1">
      <x:c r="A18" s="50" t="str">
        <x:v>rights_status</x:v>
      </x:c>
      <x:c r="B18" s="50" t="str">
        <x:v>Yes</x:v>
      </x:c>
      <x:c r="C18" s="50" t="str">
        <x:v>All</x:v>
      </x:c>
      <x:c r="D18" s="50" t="str">
        <x:v>Known license/access/reuse status and basis for decision.</x:v>
      </x:c>
      <x:c r="E18" s="50" t="str">
        <x:v>unknown, link_only, open_license, permission_checked, restricted</x:v>
      </x:c>
    </x:row>
    <x:row r="19" ht="42" customHeight="1">
      <x:c r="A19" s="50" t="str">
        <x:v>robots_status</x:v>
      </x:c>
      <x:c r="B19" s="50" t="str">
        <x:v>Yes</x:v>
      </x:c>
      <x:c r="C19" s="50" t="str">
        <x:v>Site/domain</x:v>
      </x:c>
      <x:c r="D19" s="50" t="str">
        <x:v>Result of robots.txt review for the relevant path.</x:v>
      </x:c>
      <x:c r="E19" s="50" t="str">
        <x:v>pending until verified directly</x:v>
      </x:c>
    </x:row>
    <x:row r="20" ht="42" customHeight="1">
      <x:c r="A20" s="50" t="str">
        <x:v>retrieved_at</x:v>
      </x:c>
      <x:c r="B20" s="50" t="str">
        <x:v>Yes</x:v>
      </x:c>
      <x:c r="C20" s="50" t="str">
        <x:v>All</x:v>
      </x:c>
      <x:c r="D20" s="50" t="str">
        <x:v>Timestamp when inventory or content was fetched.</x:v>
      </x:c>
      <x:c r="E20" s="50" t="str">
        <x:v>UTC timestamp if possible</x:v>
      </x:c>
    </x:row>
    <x:row r="21" ht="42" customHeight="1">
      <x:c r="A21" s="50" t="str">
        <x:v>content_hash</x:v>
      </x:c>
      <x:c r="B21" s="50" t="str">
        <x:v>When text captured</x:v>
      </x:c>
      <x:c r="C21" s="50" t="str">
        <x:v>Text content</x:v>
      </x:c>
      <x:c r="D21" s="50" t="str">
        <x:v>Hash used to detect change and support deduplication.</x:v>
      </x:c>
      <x:c r="E21" s="50" t="str">
        <x:v>SHA-256 of normalized content</x:v>
      </x:c>
    </x:row>
    <x:row r="22" ht="42" customHeight="1">
      <x:c r="A22" s="50" t="str">
        <x:v>last_seen_at</x:v>
      </x:c>
      <x:c r="B22" s="50" t="str">
        <x:v>Yes</x:v>
      </x:c>
      <x:c r="C22" s="50" t="str">
        <x:v>All</x:v>
      </x:c>
      <x:c r="D22" s="50" t="str">
        <x:v>Last date this record was observed at source.</x:v>
      </x:c>
      <x:c r="E22" s="50" t="str">
        <x:v>Used for stale/removed-link checks</x:v>
      </x:c>
    </x:row>
    <x:row r="23" ht="42" customHeight="1">
      <x:c r="A23" s="50" t="str">
        <x:v>notes</x:v>
      </x:c>
      <x:c r="B23" s="50" t="str">
        <x:v>Optional</x:v>
      </x:c>
      <x:c r="C23" s="50" t="str">
        <x:v>All</x:v>
      </x:c>
      <x:c r="D23" s="50" t="str">
        <x:v>Human review notes and unresolved issues.</x:v>
      </x:c>
      <x:c r="E23" s="50" t="str">
        <x:v>Keep uncertainty explicit</x:v>
      </x:c>
    </x:row>
  </x:sheetData>
  <x:pageMargins left="0.7" right="0.7" top="0.75" bottom="0.75" header="0.3" footer="0.3"/>
  <x:tableParts count="1">
    <x:tablePart xmlns:r="http://schemas.openxmlformats.org/officeDocument/2006/relationships" r:id="Rfa55aa094ec94b1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52" hidden="0" customWidth="1"/>
    <x:col min="3" max="3" width="64" hidden="0" customWidth="1"/>
    <x:col min="4" max="4" width="46" hidden="0" customWidth="1"/>
  </x:cols>
  <x:sheetData>
    <x:row r="1" ht="30" customHeight="1">
      <x:c r="A1" s="63" t="str">
        <x:v>Collection Guardrails &amp; Verification Queue</x:v>
      </x:c>
      <x:c r="B1" s="63"/>
      <x:c r="C1" s="63"/>
      <x:c r="D1" s="63"/>
    </x:row>
    <x:row r="3" ht="32" customHeight="1">
      <x:c r="A3" s="46" t="str">
        <x:v>Check / rule</x:v>
      </x:c>
      <x:c r="B3" s="46" t="str">
        <x:v>Current state</x:v>
      </x:c>
      <x:c r="C3" s="46" t="str">
        <x:v>Action before implementation</x:v>
      </x:c>
      <x:c r="D3" s="46" t="str">
        <x:v>Why it matters</x:v>
      </x:c>
    </x:row>
    <x:row r="4" ht="54" customHeight="1">
      <x:c r="A4" s="50" t="str">
        <x:v>Hinton robots.txt</x:v>
      </x:c>
      <x:c r="B4" s="50" t="str">
        <x:v>Verified: https://www.cs.toronto.edu/robots.txt specifies Crawl-delay: 1 second; visible disallow rules do not list the Hinton path.</x:v>
      </x:c>
      <x:c r="C4" s="50" t="str">
        <x:v>Use at least a one-second delay between requests to this domain; keep concurrency low and re-check if crawler behavior changes.</x:v>
      </x:c>
      <x:c r="D4" s="50" t="str">
        <x:v>Robots rules are crawl guidance, not content licenses.</x:v>
      </x:c>
    </x:row>
    <x:row r="5" ht="54" customHeight="1">
      <x:c r="A5" s="50" t="str">
        <x:v>Bengio robots.txt</x:v>
      </x:c>
      <x:c r="B5" s="50" t="str">
        <x:v>Unverified: direct endpoint was not retrievable through the current research browser; absence/permission cannot be inferred.</x:v>
      </x:c>
      <x:c r="C5" s="50" t="str">
        <x:v>Before any request automation, retrieve https://yoshuabengio.org/robots.txt from the actual crawler runtime and record its full response/date.</x:v>
      </x:c>
      <x:c r="D5" s="50" t="str">
        <x:v>Do not infer permission from a page being publicly visible.</x:v>
      </x:c>
    </x:row>
    <x:row r="6" ht="54" customHeight="1">
      <x:c r="A6" s="50" t="str">
        <x:v>Sitemaps</x:v>
      </x:c>
      <x:c r="B6" s="50" t="str">
        <x:v>Unverified: Toronto sitemap endpoint and Bengio sitemap candidates could not be verified through the current research browser.</x:v>
      </x:c>
      <x:c r="C6" s="50" t="str">
        <x:v>Check robots.txt sitemap declarations and test the appropriate sitemap endpoints from the crawl runtime; log HTTP status and final URL.</x:v>
      </x:c>
      <x:c r="D6" s="50" t="str">
        <x:v>Do not assume a sitemap exists or does not exist based on the current inspection.</x:v>
      </x:c>
    </x:row>
    <x:row r="7" ht="54" customHeight="1">
      <x:c r="A7" s="50" t="str">
        <x:v>Terms / copyright / licenses</x:v>
      </x:c>
      <x:c r="B7" s="50" t="str">
        <x:v>Open for both sites and all linked assets. Hinton homepage shows a copyright notice; Bengio reuse terms were not established here.</x:v>
      </x:c>
      <x:c r="C7" s="50" t="str">
        <x:v>Review published site terms/notices and any individual paper, PDF, media, transcript, and external publisher license before retaining or reusing content.</x:v>
      </x:c>
      <x:c r="D7" s="50" t="str">
        <x:v>Public access is not equivalent to permission to republish.</x:v>
      </x:c>
    </x:row>
    <x:row r="8" ht="54" customHeight="1">
      <x:c r="A8" s="50" t="str">
        <x:v>First-pass capture policy</x:v>
      </x:c>
      <x:c r="B8" s="50" t="str">
        <x:v>Ready as a proposed scope; no bulk content has been collected.</x:v>
      </x:c>
      <x:c r="C8" s="50" t="str">
        <x:v>Capture first-party URLs, titles, dates, authors, categories, descriptions, identifiers, and outbound links first.</x:v>
      </x:c>
      <x:c r="D8" s="50" t="str">
        <x:v>Metadata-first inventory reduces risk and accelerates source mapping.</x:v>
      </x:c>
    </x:row>
    <x:row r="9" ht="54" customHeight="1">
      <x:c r="A9" s="50" t="str">
        <x:v>Full text and PDF retrieval</x:v>
      </x:c>
      <x:c r="B9" s="50" t="str">
        <x:v>Not approved by default.</x:v>
      </x:c>
      <x:c r="C9" s="50" t="str">
        <x:v>Fetch or store full text only when access and reuse terms support the intended use; otherwise retain metadata plus canonical URL.</x:v>
      </x:c>
      <x:c r="D9" s="50" t="str">
        <x:v>Research papers and presentations can have separate publisher or author rights.</x:v>
      </x:c>
    </x:row>
    <x:row r="10" ht="54" customHeight="1">
      <x:c r="A10" s="50" t="str">
        <x:v>Video, audio, and captions</x:v>
      </x:c>
      <x:c r="B10" s="50" t="str">
        <x:v>Metadata-only starting policy.</x:v>
      </x:c>
      <x:c r="C10" s="50" t="str">
        <x:v>Index title, publisher/platform, date, URL, and transcript availability. Use captions/transcripts only where permitted.</x:v>
      </x:c>
      <x:c r="D10" s="50" t="str">
        <x:v>Avoid downloading or rehosting media without rights.</x:v>
      </x:c>
    </x:row>
    <x:row r="11" ht="54" customHeight="1">
      <x:c r="A11" s="50" t="str">
        <x:v>External links</x:v>
      </x:c>
      <x:c r="B11" s="50" t="str">
        <x:v>Out of initial crawl scope; eight external/cross-owner references are recorded in the manifest.</x:v>
      </x:c>
      <x:c r="C11" s="50" t="str">
        <x:v>Record outbound URL and domain; add each external domain as a separately approved connector later.</x:v>
      </x:c>
      <x:c r="D11" s="50" t="str">
        <x:v>Prevents uncontrolled recursive crawling and scope creep.</x:v>
      </x:c>
    </x:row>
    <x:row r="12" ht="54" customHeight="1">
      <x:c r="A12" s="50" t="str">
        <x:v>Request rate</x:v>
      </x:c>
      <x:c r="B12" s="50" t="str">
        <x:v>Hinton domain has a verified one-second crawl delay; Bengio rate rules are unverified.</x:v>
      </x:c>
      <x:c r="C12" s="50" t="str">
        <x:v>Use a clear User-Agent, one request at a time to Hinton with at least one second between requests; choose a conservative rate for Bengio after checking its rules.</x:v>
      </x:c>
      <x:c r="D12" s="50" t="str">
        <x:v>Courteous crawling reduces server load and avoids repetitive requests.</x:v>
      </x:c>
    </x:row>
    <x:row r="13" ht="54" customHeight="1">
      <x:c r="A13" s="50" t="str">
        <x:v>Provenance and deduplication</x:v>
      </x:c>
      <x:c r="B13" s="50" t="str">
        <x:v>Required design feature.</x:v>
      </x:c>
      <x:c r="C13" s="50" t="str">
        <x:v>Record discovery URL, canonical URL, retrieval timestamp, content hash, original title, and source family; cross-deduplicate Hinton's two publication indexes.</x:v>
      </x:c>
      <x:c r="D13" s="50" t="str">
        <x:v>Supports traceability, updates, deduplication, and trustworthy AI answers.</x:v>
      </x:c>
    </x:row>
    <x:row r="14" ht="54" customHeight="1">
      <x:c r="A14" s="50" t="str">
        <x:v>AI-generated summaries</x:v>
      </x:c>
      <x:c r="B14" s="50" t="str">
        <x:v>Later stage.</x:v>
      </x:c>
      <x:c r="C14" s="50" t="str">
        <x:v>Keep generated summaries separate from source text; link each summary to retrieved passages/URLs and identify it as AI-generated.</x:v>
      </x:c>
      <x:c r="D14" s="50" t="str">
        <x:v>Prevents model-generated text from being mistaken for what a researcher actually said.</x:v>
      </x:c>
    </x:row>
    <x:row r="15" ht="54" customHeight="1">
      <x:c r="A15" s="50" t="str">
        <x:v>Ready-to-code gate</x:v>
      </x:c>
      <x:c r="B15" s="50" t="str">
        <x:v>Partially complete: link-level seed manifest exists; Bengio robots, sitemap checks, and reuse/rights checks remain open.</x:v>
      </x:c>
      <x:c r="C15" s="50" t="str">
        <x:v>Resolve the outstanding policy checks, then run a bounded metadata-only pilot on a handful of P1 pages.</x:v>
      </x:c>
      <x:c r="D15" s="50" t="str">
        <x:v>Do not start recursive/bulk crawling before the policy gate is cleared.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5ac3baa9fec419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54" hidden="0" customWidth="1"/>
    <x:col min="4" max="4" width="37" hidden="0" customWidth="1"/>
    <x:col min="5" max="5" width="23" hidden="0" customWidth="1"/>
    <x:col min="6" max="6" width="29" hidden="0" customWidth="1"/>
    <x:col min="7" max="7" width="32" hidden="0" customWidth="1"/>
    <x:col min="8" max="8" width="38" hidden="0" customWidth="1"/>
    <x:col min="9" max="9" width="55" hidden="0" customWidth="1"/>
    <x:col min="10" max="10" width="22" hidden="0" customWidth="1"/>
    <x:col min="11" max="11" width="52" hidden="0" customWidth="1"/>
    <x:col min="12" max="12" width="45" hidden="0" customWidth="1"/>
    <x:col min="13" max="13" width="45" hidden="0" customWidth="1"/>
    <x:col min="14" max="14" width="14" hidden="0" customWidth="1"/>
  </x:cols>
  <x:sheetData>
    <x:row r="1" ht="30" customHeight="1">
      <x:c r="A1" s="69" t="str">
        <x:v>AI Research Source Inventory — Verified URL Manifest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</x:row>
    <x:row r="2" ht="30" customHeight="1">
      <x:c r="A2" s="73" t="str">
        <x:v>Seed catalogue only: 52 rows including first-party pages, selected external references, and policy endpoints. No bulk content has been collected.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</x:row>
    <x:row r="4" ht="34" customHeight="1">
      <x:c r="A4" s="78" t="str">
        <x:v>Manifest ID</x:v>
      </x:c>
      <x:c r="B4" s="78" t="str">
        <x:v>Person / source</x:v>
      </x:c>
      <x:c r="C4" s="78" t="str">
        <x:v>URL</x:v>
      </x:c>
      <x:c r="D4" s="78" t="str">
        <x:v>Page / resource name</x:v>
      </x:c>
      <x:c r="E4" s="78" t="str">
        <x:v>Resource type</x:v>
      </x:c>
      <x:c r="F4" s="78" t="str">
        <x:v>Domain scope</x:v>
      </x:c>
      <x:c r="G4" s="78" t="str">
        <x:v>Verification status</x:v>
      </x:c>
      <x:c r="H4" s="78" t="str">
        <x:v>Observed from</x:v>
      </x:c>
      <x:c r="I4" s="78" t="str">
        <x:v>Information to inventory</x:v>
      </x:c>
      <x:c r="J4" s="78" t="str">
        <x:v>Priority</x:v>
      </x:c>
      <x:c r="K4" s="78" t="str">
        <x:v>Collection decision</x:v>
      </x:c>
      <x:c r="L4" s="78" t="str">
        <x:v>Robots / sitemap status</x:v>
      </x:c>
      <x:c r="M4" s="78" t="str">
        <x:v>Rights status</x:v>
      </x:c>
      <x:c r="N4" s="78" t="str">
        <x:v>Last checked</x:v>
      </x:c>
    </x:row>
    <x:row r="5">
      <x:c r="A5" s="79" t="str">
        <x:v>HI-URL-001</x:v>
      </x:c>
      <x:c r="B5" s="79" t="str">
        <x:v>Geoffrey Hinton</x:v>
      </x:c>
      <x:c r="C5" s="79" t="str">
        <x:v>https://www.cs.toronto.edu/~hinton/index.html</x:v>
      </x:c>
      <x:c r="D5" s="79" t="str">
        <x:v>Homepage and navigation</x:v>
      </x:c>
      <x:c r="E5" s="79" t="str">
        <x:v>Discovery index</x:v>
      </x:c>
      <x:c r="F5" s="79" t="str">
        <x:v>First-party</x:v>
      </x:c>
      <x:c r="G5" s="79" t="str">
        <x:v>Opened</x:v>
      </x:c>
      <x:c r="H5" s="79" t="str">
        <x:v>Homepage</x:v>
      </x:c>
      <x:c r="I5" s="79" t="str">
        <x:v>Navigation labels, first-party links, copyright notice, biography highlights</x:v>
      </x:c>
      <x:c r="J5" s="79" t="str">
        <x:v>P1</x:v>
      </x:c>
      <x:c r="K5" s="79" t="str">
        <x:v>Enumerate links and retain link labels</x:v>
      </x:c>
      <x:c r="L5" s="79" t="str">
        <x:v>Domain robots verified; crawl-delay 1 second</x:v>
      </x:c>
      <x:c r="M5" s="79" t="str">
        <x:v>Copyright notice observed; reuse rights per asset unresolved</x:v>
      </x:c>
      <x:c r="N5" s="79" t="str">
        <x:v>2026-10-20</x:v>
      </x:c>
    </x:row>
    <x:row r="6">
      <x:c r="A6" s="79" t="str">
        <x:v>HI-URL-002</x:v>
      </x:c>
      <x:c r="B6" s="79" t="str">
        <x:v>Geoffrey Hinton</x:v>
      </x:c>
      <x:c r="C6" s="79" t="str">
        <x:v>https://www.cs.toronto.edu/~hinton/pages/publications.html</x:v>
      </x:c>
      <x:c r="D6" s="79" t="str">
        <x:v>Current scientific publications index</x:v>
      </x:c>
      <x:c r="E6" s="79" t="str">
        <x:v>Publication index</x:v>
      </x:c>
      <x:c r="F6" s="79" t="str">
        <x:v>First-party</x:v>
      </x:c>
      <x:c r="G6" s="79" t="str">
        <x:v>Opened</x:v>
      </x:c>
      <x:c r="H6" s="79" t="str">
        <x:v>Homepage → Scientific Publications</x:v>
      </x:c>
      <x:c r="I6" s="79" t="str">
        <x:v>Paper title, authors, year, topic labels, linked paper/PDF URLs</x:v>
      </x:c>
      <x:c r="J6" s="79" t="str">
        <x:v>P1</x:v>
      </x:c>
      <x:c r="K6" s="79" t="str">
        <x:v>Metadata-first; enumerate all listed records</x:v>
      </x:c>
      <x:c r="L6" s="79" t="str">
        <x:v>Domain robots verified; crawl-delay 1 second</x:v>
      </x:c>
      <x:c r="M6" s="79" t="str">
        <x:v>Paper-level rights need review; topic labels marked work-in-progress</x:v>
      </x:c>
      <x:c r="N6" s="79" t="str">
        <x:v>2026-10-20</x:v>
      </x:c>
    </x:row>
    <x:row r="7">
      <x:c r="A7" s="79" t="str">
        <x:v>HI-URL-003</x:v>
      </x:c>
      <x:c r="B7" s="79" t="str">
        <x:v>Geoffrey Hinton</x:v>
      </x:c>
      <x:c r="C7" s="79" t="str">
        <x:v>https://www.cs.toronto.edu/~hinton/papers.html</x:v>
      </x:c>
      <x:c r="D7" s="79" t="str">
        <x:v>Legacy chronological publication archive</x:v>
      </x:c>
      <x:c r="E7" s="79" t="str">
        <x:v>Publication index</x:v>
      </x:c>
      <x:c r="F7" s="79" t="str">
        <x:v>First-party</x:v>
      </x:c>
      <x:c r="G7" s="79" t="str">
        <x:v>Opened</x:v>
      </x:c>
      <x:c r="H7" s="79" t="str">
        <x:v>Talks archive → Publications by year</x:v>
      </x:c>
      <x:c r="I7" s="79" t="str">
        <x:v>Publication citations, year links/ranges, abstract/PDF links</x:v>
      </x:c>
      <x:c r="J7" s="79" t="str">
        <x:v>P1</x:v>
      </x:c>
      <x:c r="K7" s="79" t="str">
        <x:v>Enumerate year links and publication entries; deduplicate against HI-URL-002</x:v>
      </x:c>
      <x:c r="L7" s="79" t="str">
        <x:v>Domain robots verified; crawl-delay 1 second</x:v>
      </x:c>
      <x:c r="M7" s="79" t="str">
        <x:v>Paper-level rights need review</x:v>
      </x:c>
      <x:c r="N7" s="79" t="str">
        <x:v>2026-10-20</x:v>
      </x:c>
    </x:row>
    <x:row r="8">
      <x:c r="A8" s="79" t="str">
        <x:v>HI-URL-004</x:v>
      </x:c>
      <x:c r="B8" s="79" t="str">
        <x:v>Geoffrey Hinton</x:v>
      </x:c>
      <x:c r="C8" s="79" t="str">
        <x:v>https://www.cs.toronto.edu/~hinton/bytopics.html</x:v>
      </x:c>
      <x:c r="D8" s="79" t="str">
        <x:v>Publications by topic</x:v>
      </x:c>
      <x:c r="E8" s="79" t="str">
        <x:v>Topic index</x:v>
      </x:c>
      <x:c r="F8" s="79" t="str">
        <x:v>First-party</x:v>
      </x:c>
      <x:c r="G8" s="79" t="str">
        <x:v>Opened</x:v>
      </x:c>
      <x:c r="H8" s="79" t="str">
        <x:v>Search result / topic index</x:v>
      </x:c>
      <x:c r="I8" s="79" t="str">
        <x:v>Topic headings and links to publications</x:v>
      </x:c>
      <x:c r="J8" s="79" t="str">
        <x:v>P1</x:v>
      </x:c>
      <x:c r="K8" s="79" t="str">
        <x:v>Use as a topic discovery index; keep source tags separate from app tags</x:v>
      </x:c>
      <x:c r="L8" s="79" t="str">
        <x:v>Domain robots verified; crawl-delay 1 second</x:v>
      </x:c>
      <x:c r="M8" s="79" t="str">
        <x:v>Linked paper rights need review</x:v>
      </x:c>
      <x:c r="N8" s="79" t="str">
        <x:v>2026-10-20</x:v>
      </x:c>
    </x:row>
    <x:row r="9">
      <x:c r="A9" s="79" t="str">
        <x:v>HI-URL-005</x:v>
      </x:c>
      <x:c r="B9" s="79" t="str">
        <x:v>Geoffrey Hinton</x:v>
      </x:c>
      <x:c r="C9" s="79" t="str">
        <x:v>https://www.cs.toronto.edu/~hinton/talks.html</x:v>
      </x:c>
      <x:c r="D9" s="79" t="str">
        <x:v>Talks, interviews, lectures, tutorials, software index</x:v>
      </x:c>
      <x:c r="E9" s="79" t="str">
        <x:v>Mixed resource index</x:v>
      </x:c>
      <x:c r="F9" s="79" t="str">
        <x:v>First-party</x:v>
      </x:c>
      <x:c r="G9" s="79" t="str">
        <x:v>Opened</x:v>
      </x:c>
      <x:c r="H9" s="79" t="str">
        <x:v>Homepage / talks archive</x:v>
      </x:c>
      <x:c r="I9" s="79" t="str">
        <x:v>Talk titles, interview/video links, slide links, tutorial/readings links, code links</x:v>
      </x:c>
      <x:c r="J9" s="79" t="str">
        <x:v>P1</x:v>
      </x:c>
      <x:c r="K9" s="79" t="str">
        <x:v>Extract resource metadata and links only in first pass</x:v>
      </x:c>
      <x:c r="L9" s="79" t="str">
        <x:v>Domain robots verified; crawl-delay 1 second</x:v>
      </x:c>
      <x:c r="M9" s="79" t="str">
        <x:v>No automatic download/rehosting of media or files</x:v>
      </x:c>
      <x:c r="N9" s="79" t="str">
        <x:v>2026-10-20</x:v>
      </x:c>
    </x:row>
    <x:row r="10">
      <x:c r="A10" s="79" t="str">
        <x:v>HI-URL-006</x:v>
      </x:c>
      <x:c r="B10" s="79" t="str">
        <x:v>Geoffrey Hinton</x:v>
      </x:c>
      <x:c r="C10" s="79" t="str">
        <x:v>https://www.cs.toronto.edu/~hinton/coursera_lectures.html</x:v>
      </x:c>
      <x:c r="D10" s="79" t="str">
        <x:v>2012 Coursera neural-network lecture index</x:v>
      </x:c>
      <x:c r="E10" s="79" t="str">
        <x:v>Lecture index</x:v>
      </x:c>
      <x:c r="F10" s="79" t="str">
        <x:v>First-party</x:v>
      </x:c>
      <x:c r="G10" s="79" t="str">
        <x:v>Opened</x:v>
      </x:c>
      <x:c r="H10" s="79" t="str">
        <x:v>Homepage → Coursera Machine Learning Course</x:v>
      </x:c>
      <x:c r="I10" s="79" t="str">
        <x:v>Lecture title, sequence, video URL, lecture/topic labels</x:v>
      </x:c>
      <x:c r="J10" s="79" t="str">
        <x:v>P1</x:v>
      </x:c>
      <x:c r="K10" s="79" t="str">
        <x:v>Enumerate lecture links; count linked lecture entries</x:v>
      </x:c>
      <x:c r="L10" s="79" t="str">
        <x:v>Domain robots verified; crawl-delay 1 second</x:v>
      </x:c>
      <x:c r="M10" s="79" t="str">
        <x:v>Index links by default; video rights/platform terms separate</x:v>
      </x:c>
      <x:c r="N10" s="79" t="str">
        <x:v>2026-10-20</x:v>
      </x:c>
    </x:row>
    <x:row r="11">
      <x:c r="A11" s="79" t="str">
        <x:v>HI-URL-007</x:v>
      </x:c>
      <x:c r="B11" s="79" t="str">
        <x:v>Geoffrey Hinton</x:v>
      </x:c>
      <x:c r="C11" s="79" t="str">
        <x:v>https://www.cs.toronto.edu/~hinton/coursera_slides.html</x:v>
      </x:c>
      <x:c r="D11" s="79" t="str">
        <x:v>2012 Coursera lecture slides</x:v>
      </x:c>
      <x:c r="E11" s="79" t="str">
        <x:v>Slide index</x:v>
      </x:c>
      <x:c r="F11" s="79" t="str">
        <x:v>First-party</x:v>
      </x:c>
      <x:c r="G11" s="79" t="str">
        <x:v>Opened</x:v>
      </x:c>
      <x:c r="H11" s="79" t="str">
        <x:v>Talks archive → Lecture Slides</x:v>
      </x:c>
      <x:c r="I11" s="79" t="str">
        <x:v>Lecture number, PPTX URL, PDF URL</x:v>
      </x:c>
      <x:c r="J11" s="79" t="str">
        <x:v>P1</x:v>
      </x:c>
      <x:c r="K11" s="79" t="str">
        <x:v>Enumerate 16 slide pairs; store links and metadata first</x:v>
      </x:c>
      <x:c r="L11" s="79" t="str">
        <x:v>Domain robots verified; crawl-delay 1 second</x:v>
      </x:c>
      <x:c r="M11" s="79" t="str">
        <x:v>Do not redistribute files without permissions</x:v>
      </x:c>
      <x:c r="N11" s="79" t="str">
        <x:v>2026-10-20</x:v>
      </x:c>
    </x:row>
    <x:row r="12">
      <x:c r="A12" s="79" t="str">
        <x:v>HI-URL-008</x:v>
      </x:c>
      <x:c r="B12" s="79" t="str">
        <x:v>Geoffrey Hinton</x:v>
      </x:c>
      <x:c r="C12" s="79" t="str">
        <x:v>https://www.cs.toronto.edu/~hinton/nntut.html</x:v>
      </x:c>
      <x:c r="D12" s="79" t="str">
        <x:v>Neural-network tutorials</x:v>
      </x:c>
      <x:c r="E12" s="79" t="str">
        <x:v>Tutorial index</x:v>
      </x:c>
      <x:c r="F12" s="79" t="str">
        <x:v>First-party</x:v>
      </x:c>
      <x:c r="G12" s="79" t="str">
        <x:v>Opened</x:v>
      </x:c>
      <x:c r="H12" s="79" t="str">
        <x:v>Homepage → Very Old Tutorials / tutorials archive</x:v>
      </x:c>
      <x:c r="I12" s="79" t="str">
        <x:v>Tutorial title, year, topic, duration, slide/PDF/readings/video links</x:v>
      </x:c>
      <x:c r="J12" s="79" t="str">
        <x:v>P1</x:v>
      </x:c>
      <x:c r="K12" s="79" t="str">
        <x:v>Extract tutorial metadata and asset URLs</x:v>
      </x:c>
      <x:c r="L12" s="79" t="str">
        <x:v>Domain robots verified; crawl-delay 1 second</x:v>
      </x:c>
      <x:c r="M12" s="79" t="str">
        <x:v>Review per asset before storage or republication</x:v>
      </x:c>
      <x:c r="N12" s="79" t="str">
        <x:v>2026-10-20</x:v>
      </x:c>
    </x:row>
    <x:row r="13">
      <x:c r="A13" s="79" t="str">
        <x:v>HI-URL-009</x:v>
      </x:c>
      <x:c r="B13" s="79" t="str">
        <x:v>Geoffrey Hinton</x:v>
      </x:c>
      <x:c r="C13" s="79" t="str">
        <x:v>https://www.cs.toronto.edu/~hinton/bio.html?stream=top</x:v>
      </x:c>
      <x:c r="D13" s="79" t="str">
        <x:v>Brief biography</x:v>
      </x:c>
      <x:c r="E13" s="79" t="str">
        <x:v>Biography page</x:v>
      </x:c>
      <x:c r="F13" s="79" t="str">
        <x:v>First-party</x:v>
      </x:c>
      <x:c r="G13" s="79" t="str">
        <x:v>Linked/opened</x:v>
      </x:c>
      <x:c r="H13" s="79" t="str">
        <x:v>Homepage → Brief Biography</x:v>
      </x:c>
      <x:c r="I13" s="79" t="str">
        <x:v>Career timeline, roles, research themes, dated milestones</x:v>
      </x:c>
      <x:c r="J13" s="79" t="str">
        <x:v>P2</x:v>
      </x:c>
      <x:c r="K13" s="79" t="str">
        <x:v>Capture factual metadata and source URL</x:v>
      </x:c>
      <x:c r="L13" s="79" t="str">
        <x:v>Domain robots verified; crawl-delay 1 second</x:v>
      </x:c>
      <x:c r="M13" s="79" t="str">
        <x:v>Use factual excerpts sparingly; photo rights separate</x:v>
      </x:c>
      <x:c r="N13" s="79" t="str">
        <x:v>2026-10-20</x:v>
      </x:c>
    </x:row>
    <x:row r="14">
      <x:c r="A14" s="79" t="str">
        <x:v>HI-URL-010</x:v>
      </x:c>
      <x:c r="B14" s="79" t="str">
        <x:v>Geoffrey Hinton</x:v>
      </x:c>
      <x:c r="C14" s="79" t="str">
        <x:v>https://www.cs.toronto.edu/~hinton/shortcv.pdf</x:v>
      </x:c>
      <x:c r="D14" s="79" t="str">
        <x:v>Short CV</x:v>
      </x:c>
      <x:c r="E14" s="79" t="str">
        <x:v>PDF / profile record</x:v>
      </x:c>
      <x:c r="F14" s="79" t="str">
        <x:v>First-party</x:v>
      </x:c>
      <x:c r="G14" s="79" t="str">
        <x:v>Opened</x:v>
      </x:c>
      <x:c r="H14" s="79" t="str">
        <x:v>Homepage → Curriculum Vitae</x:v>
      </x:c>
      <x:c r="I14" s="79" t="str">
        <x:v>Education, appointments, publications/awards where listed, CV date if present</x:v>
      </x:c>
      <x:c r="J14" s="79" t="str">
        <x:v>P2</x:v>
      </x:c>
      <x:c r="K14" s="79" t="str">
        <x:v>Record PDF metadata; parse only if needed and permitted</x:v>
      </x:c>
      <x:c r="L14" s="79" t="str">
        <x:v>Domain robots verified; crawl-delay 1 second</x:v>
      </x:c>
      <x:c r="M14" s="79" t="str">
        <x:v>PDF use and redistribution rights unresolved</x:v>
      </x:c>
      <x:c r="N14" s="79" t="str">
        <x:v>2026-10-20</x:v>
      </x:c>
    </x:row>
    <x:row r="15">
      <x:c r="A15" s="79" t="str">
        <x:v>HI-URL-011</x:v>
      </x:c>
      <x:c r="B15" s="79" t="str">
        <x:v>Geoffrey Hinton</x:v>
      </x:c>
      <x:c r="C15" s="79" t="str">
        <x:v>https://www.cs.toronto.edu/~hinton/pages/awards.html</x:v>
      </x:c>
      <x:c r="D15" s="79" t="str">
        <x:v>Awards and fellowships</x:v>
      </x:c>
      <x:c r="E15" s="79" t="str">
        <x:v>Awards page</x:v>
      </x:c>
      <x:c r="F15" s="79" t="str">
        <x:v>First-party</x:v>
      </x:c>
      <x:c r="G15" s="79" t="str">
        <x:v>Opened</x:v>
      </x:c>
      <x:c r="H15" s="79" t="str">
        <x:v>Homepage → Awards &amp; Fellowships</x:v>
      </x:c>
      <x:c r="I15" s="79" t="str">
        <x:v>Award name, institution, year/date where shown, description</x:v>
      </x:c>
      <x:c r="J15" s="79" t="str">
        <x:v>P2</x:v>
      </x:c>
      <x:c r="K15" s="79" t="str">
        <x:v>Capture structured factual fields</x:v>
      </x:c>
      <x:c r="L15" s="79" t="str">
        <x:v>Domain robots verified; crawl-delay 1 second</x:v>
      </x:c>
      <x:c r="M15" s="79" t="str">
        <x:v>Short factual metadata; source link retained</x:v>
      </x:c>
      <x:c r="N15" s="79" t="str">
        <x:v>2026-10-20</x:v>
      </x:c>
    </x:row>
    <x:row r="16">
      <x:c r="A16" s="79" t="str">
        <x:v>HI-URL-012</x:v>
      </x:c>
      <x:c r="B16" s="79" t="str">
        <x:v>Geoffrey Hinton</x:v>
      </x:c>
      <x:c r="C16" s="79" t="str">
        <x:v>https://www.cs.toronto.edu/~hinton/pages/media/video.html</x:v>
      </x:c>
      <x:c r="D16" s="79" t="str">
        <x:v>Media appearances — video</x:v>
      </x:c>
      <x:c r="E16" s="79" t="str">
        <x:v>Media index</x:v>
      </x:c>
      <x:c r="F16" s="79" t="str">
        <x:v>First-party</x:v>
      </x:c>
      <x:c r="G16" s="79" t="str">
        <x:v>Opened</x:v>
      </x:c>
      <x:c r="H16" s="79" t="str">
        <x:v>Homepage → Media Appearances → Video</x:v>
      </x:c>
      <x:c r="I16" s="79" t="str">
        <x:v>Title, outlet, date, video URL, description</x:v>
      </x:c>
      <x:c r="J16" s="79" t="str">
        <x:v>P2</x:v>
      </x:c>
      <x:c r="K16" s="79" t="str">
        <x:v>Index video metadata; do not download video</x:v>
      </x:c>
      <x:c r="L16" s="79" t="str">
        <x:v>Domain robots verified; crawl-delay 1 second</x:v>
      </x:c>
      <x:c r="M16" s="79" t="str">
        <x:v>External platform terms apply</x:v>
      </x:c>
      <x:c r="N16" s="79" t="str">
        <x:v>2026-10-20</x:v>
      </x:c>
    </x:row>
    <x:row r="17">
      <x:c r="A17" s="79" t="str">
        <x:v>HI-URL-013</x:v>
      </x:c>
      <x:c r="B17" s="79" t="str">
        <x:v>Geoffrey Hinton</x:v>
      </x:c>
      <x:c r="C17" s="79" t="str">
        <x:v>https://www.cs.toronto.edu/~hinton/pages/media/print.html</x:v>
      </x:c>
      <x:c r="D17" s="79" t="str">
        <x:v>Media appearances — print</x:v>
      </x:c>
      <x:c r="E17" s="79" t="str">
        <x:v>Media index</x:v>
      </x:c>
      <x:c r="F17" s="79" t="str">
        <x:v>First-party</x:v>
      </x:c>
      <x:c r="G17" s="79" t="str">
        <x:v>Opened</x:v>
      </x:c>
      <x:c r="H17" s="79" t="str">
        <x:v>Homepage → Media Appearances → Print</x:v>
      </x:c>
      <x:c r="I17" s="79" t="str">
        <x:v>Article title, publisher, date, author if shown, URL</x:v>
      </x:c>
      <x:c r="J17" s="79" t="str">
        <x:v>P2</x:v>
      </x:c>
      <x:c r="K17" s="79" t="str">
        <x:v>Record linked article metadata</x:v>
      </x:c>
      <x:c r="L17" s="79" t="str">
        <x:v>Domain robots verified; crawl-delay 1 second</x:v>
      </x:c>
      <x:c r="M17" s="79" t="str">
        <x:v>No full-text copying of linked press articles by default</x:v>
      </x:c>
      <x:c r="N17" s="79" t="str">
        <x:v>2026-10-20</x:v>
      </x:c>
    </x:row>
    <x:row r="18">
      <x:c r="A18" s="79" t="str">
        <x:v>HI-URL-014</x:v>
      </x:c>
      <x:c r="B18" s="79" t="str">
        <x:v>Geoffrey Hinton</x:v>
      </x:c>
      <x:c r="C18" s="79" t="str">
        <x:v>https://www.cs.toronto.edu/~hinton/pages/media/podcasts.html</x:v>
      </x:c>
      <x:c r="D18" s="79" t="str">
        <x:v>Media appearances — podcasts</x:v>
      </x:c>
      <x:c r="E18" s="79" t="str">
        <x:v>Media index</x:v>
      </x:c>
      <x:c r="F18" s="79" t="str">
        <x:v>First-party</x:v>
      </x:c>
      <x:c r="G18" s="79" t="str">
        <x:v>Opened</x:v>
      </x:c>
      <x:c r="H18" s="79" t="str">
        <x:v>Homepage → Media Appearances → Podcasts</x:v>
      </x:c>
      <x:c r="I18" s="79" t="str">
        <x:v>Episode/show, date, URL, duration/transcript availability if shown</x:v>
      </x:c>
      <x:c r="J18" s="79" t="str">
        <x:v>P2</x:v>
      </x:c>
      <x:c r="K18" s="79" t="str">
        <x:v>Record episode metadata only</x:v>
      </x:c>
      <x:c r="L18" s="79" t="str">
        <x:v>Domain robots verified; crawl-delay 1 second</x:v>
      </x:c>
      <x:c r="M18" s="79" t="str">
        <x:v>Audio/transcript rights and platform terms separate</x:v>
      </x:c>
      <x:c r="N18" s="79" t="str">
        <x:v>2026-10-20</x:v>
      </x:c>
    </x:row>
    <x:row r="19">
      <x:c r="A19" s="79" t="str">
        <x:v>HI-URL-015</x:v>
      </x:c>
      <x:c r="B19" s="79" t="str">
        <x:v>Geoffrey Hinton</x:v>
      </x:c>
      <x:c r="C19" s="79" t="str">
        <x:v>https://www.cs.toronto.edu/~hinton/pages/media/books.html</x:v>
      </x:c>
      <x:c r="D19" s="79" t="str">
        <x:v>Popular books</x:v>
      </x:c>
      <x:c r="E19" s="79" t="str">
        <x:v>Book/resource index</x:v>
      </x:c>
      <x:c r="F19" s="79" t="str">
        <x:v>First-party</x:v>
      </x:c>
      <x:c r="G19" s="79" t="str">
        <x:v>Opened</x:v>
      </x:c>
      <x:c r="H19" s="79" t="str">
        <x:v>Homepage → Popular Books</x:v>
      </x:c>
      <x:c r="I19" s="79" t="str">
        <x:v>Title, author, publication details if shown, official/book links</x:v>
      </x:c>
      <x:c r="J19" s="79" t="str">
        <x:v>P3</x:v>
      </x:c>
      <x:c r="K19" s="79" t="str">
        <x:v>Metadata and links only</x:v>
      </x:c>
      <x:c r="L19" s="79" t="str">
        <x:v>Domain robots verified; crawl-delay 1 second</x:v>
      </x:c>
      <x:c r="M19" s="79" t="str">
        <x:v>Do not copy book text</x:v>
      </x:c>
      <x:c r="N19" s="79" t="str">
        <x:v>2026-10-20</x:v>
      </x:c>
    </x:row>
    <x:row r="20">
      <x:c r="A20" s="79" t="str">
        <x:v>HI-URL-016</x:v>
      </x:c>
      <x:c r="B20" s="79" t="str">
        <x:v>Geoffrey Hinton</x:v>
      </x:c>
      <x:c r="C20" s="79" t="str">
        <x:v>https://www.cs.toronto.edu/~hinton/pages/students/postdocs.html</x:v>
      </x:c>
      <x:c r="D20" s="79" t="str">
        <x:v>Former postdocs</x:v>
      </x:c>
      <x:c r="E20" s="79" t="str">
        <x:v>Research network</x:v>
      </x:c>
      <x:c r="F20" s="79" t="str">
        <x:v>First-party</x:v>
      </x:c>
      <x:c r="G20" s="79" t="str">
        <x:v>Opened</x:v>
      </x:c>
      <x:c r="H20" s="79" t="str">
        <x:v>Homepage → Former Postdocs</x:v>
      </x:c>
      <x:c r="I20" s="79" t="str">
        <x:v>Name, public category, profile/paper links if available</x:v>
      </x:c>
      <x:c r="J20" s="79" t="str">
        <x:v>P3</x:v>
      </x:c>
      <x:c r="K20" s="79" t="str">
        <x:v>Defer until people/research-network feature is needed</x:v>
      </x:c>
      <x:c r="L20" s="79" t="str">
        <x:v>Domain robots verified; crawl-delay 1 second</x:v>
      </x:c>
      <x:c r="M20" s="79" t="str">
        <x:v>Minimize personal data; use professional public information only</x:v>
      </x:c>
      <x:c r="N20" s="79" t="str">
        <x:v>2026-10-20</x:v>
      </x:c>
    </x:row>
    <x:row r="21">
      <x:c r="A21" s="79" t="str">
        <x:v>HI-URL-017</x:v>
      </x:c>
      <x:c r="B21" s="79" t="str">
        <x:v>Geoffrey Hinton</x:v>
      </x:c>
      <x:c r="C21" s="79" t="str">
        <x:v>https://www.cs.toronto.edu/~hinton/pages/students/phds.html</x:v>
      </x:c>
      <x:c r="D21" s="79" t="str">
        <x:v>Former PhD students</x:v>
      </x:c>
      <x:c r="E21" s="79" t="str">
        <x:v>Research network</x:v>
      </x:c>
      <x:c r="F21" s="79" t="str">
        <x:v>First-party</x:v>
      </x:c>
      <x:c r="G21" s="79" t="str">
        <x:v>Opened</x:v>
      </x:c>
      <x:c r="H21" s="79" t="str">
        <x:v>Homepage → Former PhD Students</x:v>
      </x:c>
      <x:c r="I21" s="79" t="str">
        <x:v>Name, public category, profile/paper links if available</x:v>
      </x:c>
      <x:c r="J21" s="79" t="str">
        <x:v>P3</x:v>
      </x:c>
      <x:c r="K21" s="79" t="str">
        <x:v>Defer until relationship feature is needed</x:v>
      </x:c>
      <x:c r="L21" s="79" t="str">
        <x:v>Domain robots verified; crawl-delay 1 second</x:v>
      </x:c>
      <x:c r="M21" s="79" t="str">
        <x:v>Minimize personal data; use professional public information only</x:v>
      </x:c>
      <x:c r="N21" s="79" t="str">
        <x:v>2026-10-20</x:v>
      </x:c>
    </x:row>
    <x:row r="22">
      <x:c r="A22" s="79" t="str">
        <x:v>HI-URL-018</x:v>
      </x:c>
      <x:c r="B22" s="79" t="str">
        <x:v>Geoffrey Hinton</x:v>
      </x:c>
      <x:c r="C22" s="79" t="str">
        <x:v>https://www.cs.toronto.edu/~hinton/pages/students/masters.html</x:v>
      </x:c>
      <x:c r="D22" s="79" t="str">
        <x:v>Former MSc students</x:v>
      </x:c>
      <x:c r="E22" s="79" t="str">
        <x:v>Research network</x:v>
      </x:c>
      <x:c r="F22" s="79" t="str">
        <x:v>First-party</x:v>
      </x:c>
      <x:c r="G22" s="79" t="str">
        <x:v>Opened</x:v>
      </x:c>
      <x:c r="H22" s="79" t="str">
        <x:v>Homepage → Former MSc Students</x:v>
      </x:c>
      <x:c r="I22" s="79" t="str">
        <x:v>Name, public category, profile/paper links if available</x:v>
      </x:c>
      <x:c r="J22" s="79" t="str">
        <x:v>P3</x:v>
      </x:c>
      <x:c r="K22" s="79" t="str">
        <x:v>Defer until relationship feature is needed</x:v>
      </x:c>
      <x:c r="L22" s="79" t="str">
        <x:v>Domain robots verified; crawl-delay 1 second</x:v>
      </x:c>
      <x:c r="M22" s="79" t="str">
        <x:v>Minimize personal data; use professional public information only</x:v>
      </x:c>
      <x:c r="N22" s="79" t="str">
        <x:v>2026-10-20</x:v>
      </x:c>
    </x:row>
    <x:row r="23">
      <x:c r="A23" s="79" t="str">
        <x:v>HI-URL-019</x:v>
      </x:c>
      <x:c r="B23" s="79" t="str">
        <x:v>Geoffrey Hinton</x:v>
      </x:c>
      <x:c r="C23" s="79" t="str">
        <x:v>https://www.cs.toronto.edu/~hinton/pages/students/interns.html</x:v>
      </x:c>
      <x:c r="D23" s="79" t="str">
        <x:v>Former Google interns</x:v>
      </x:c>
      <x:c r="E23" s="79" t="str">
        <x:v>Research network</x:v>
      </x:c>
      <x:c r="F23" s="79" t="str">
        <x:v>First-party</x:v>
      </x:c>
      <x:c r="G23" s="79" t="str">
        <x:v>Opened</x:v>
      </x:c>
      <x:c r="H23" s="79" t="str">
        <x:v>Homepage → Former Google Interns</x:v>
      </x:c>
      <x:c r="I23" s="79" t="str">
        <x:v>Name, public category, profile/paper links if available</x:v>
      </x:c>
      <x:c r="J23" s="79" t="str">
        <x:v>P3</x:v>
      </x:c>
      <x:c r="K23" s="79" t="str">
        <x:v>Defer until relationship feature is needed</x:v>
      </x:c>
      <x:c r="L23" s="79" t="str">
        <x:v>Domain robots verified; crawl-delay 1 second</x:v>
      </x:c>
      <x:c r="M23" s="79" t="str">
        <x:v>Minimize personal data; use professional public information only</x:v>
      </x:c>
      <x:c r="N23" s="79" t="str">
        <x:v>2026-10-20</x:v>
      </x:c>
    </x:row>
    <x:row r="24">
      <x:c r="A24" s="79" t="str">
        <x:v>HI-URL-020</x:v>
      </x:c>
      <x:c r="B24" s="79" t="str">
        <x:v>Geoffrey Hinton</x:v>
      </x:c>
      <x:c r="C24" s="79" t="str">
        <x:v>https://www.cs.toronto.edu/~hinton/csc2535/index.html</x:v>
      </x:c>
      <x:c r="D24" s="79" t="str">
        <x:v>Spring 2013 graduate course page</x:v>
      </x:c>
      <x:c r="E24" s="79" t="str">
        <x:v>Course page</x:v>
      </x:c>
      <x:c r="F24" s="79" t="str">
        <x:v>First-party / legacy</x:v>
      </x:c>
      <x:c r="G24" s="79" t="str">
        <x:v>Opened</x:v>
      </x:c>
      <x:c r="H24" s="79" t="str">
        <x:v>Talks archive → old graduate course</x:v>
      </x:c>
      <x:c r="I24" s="79" t="str">
        <x:v>Course dates, lecture notes, reading/assignment links if still available</x:v>
      </x:c>
      <x:c r="J24" s="79" t="str">
        <x:v>P2</x:v>
      </x:c>
      <x:c r="K24" s="79" t="str">
        <x:v>Inventory index and links; inspect legacy resources selectively</x:v>
      </x:c>
      <x:c r="L24" s="79" t="str">
        <x:v>Domain robots verified; crawl-delay 1 second</x:v>
      </x:c>
      <x:c r="M24" s="79" t="str">
        <x:v>Legacy materials and linked assets may have separate terms</x:v>
      </x:c>
      <x:c r="N24" s="79" t="str">
        <x:v>2026-10-20</x:v>
      </x:c>
    </x:row>
    <x:row r="25">
      <x:c r="A25" s="79" t="str">
        <x:v>HI-URL-021</x:v>
      </x:c>
      <x:c r="B25" s="79" t="str">
        <x:v>Geoffrey Hinton</x:v>
      </x:c>
      <x:c r="C25" s="79" t="str">
        <x:v>https://www.cs.toronto.edu/~hinton/poe.html</x:v>
      </x:c>
      <x:c r="D25" s="79" t="str">
        <x:v>Products-of-experts publications page</x:v>
      </x:c>
      <x:c r="E25" s="79" t="str">
        <x:v>Topic bibliography</x:v>
      </x:c>
      <x:c r="F25" s="79" t="str">
        <x:v>First-party</x:v>
      </x:c>
      <x:c r="G25" s="79" t="str">
        <x:v>Found in site search</x:v>
      </x:c>
      <x:c r="H25" s="79" t="str">
        <x:v>Hinton topic bibliography</x:v>
      </x:c>
      <x:c r="I25" s="79" t="str">
        <x:v>Paper citations, titles, authors, PDF/abstract links</x:v>
      </x:c>
      <x:c r="J25" s="79" t="str">
        <x:v>P2</x:v>
      </x:c>
      <x:c r="K25" s="79" t="str">
        <x:v>Use for discovery; deduplicate against publication indexes</x:v>
      </x:c>
      <x:c r="L25" s="79" t="str">
        <x:v>Domain robots verified; crawl-delay 1 second</x:v>
      </x:c>
      <x:c r="M25" s="79" t="str">
        <x:v>Paper-level rights need review</x:v>
      </x:c>
      <x:c r="N25" s="79" t="str">
        <x:v>2026-10-20</x:v>
      </x:c>
    </x:row>
    <x:row r="26">
      <x:c r="A26" s="79" t="str">
        <x:v>HI-URL-022</x:v>
      </x:c>
      <x:c r="B26" s="79" t="str">
        <x:v>Geoffrey Hinton</x:v>
      </x:c>
      <x:c r="C26" s="79" t="str">
        <x:v>https://www.cs.toronto.edu/~hinton/speech.html</x:v>
      </x:c>
      <x:c r="D26" s="79" t="str">
        <x:v>Speech recognition and production bibliography</x:v>
      </x:c>
      <x:c r="E26" s="79" t="str">
        <x:v>Topic bibliography</x:v>
      </x:c>
      <x:c r="F26" s="79" t="str">
        <x:v>First-party</x:v>
      </x:c>
      <x:c r="G26" s="79" t="str">
        <x:v>Found in site search</x:v>
      </x:c>
      <x:c r="H26" s="79" t="str">
        <x:v>Hinton publication topic page</x:v>
      </x:c>
      <x:c r="I26" s="79" t="str">
        <x:v>Paper citations, titles, authors, publisher details</x:v>
      </x:c>
      <x:c r="J26" s="79" t="str">
        <x:v>P2</x:v>
      </x:c>
      <x:c r="K26" s="79" t="str">
        <x:v>Use for discovery; deduplicate against master publication index</x:v>
      </x:c>
      <x:c r="L26" s="79" t="str">
        <x:v>Domain robots verified; crawl-delay 1 second</x:v>
      </x:c>
      <x:c r="M26" s="79" t="str">
        <x:v>Paper-level rights need review</x:v>
      </x:c>
      <x:c r="N26" s="79" t="str">
        <x:v>2026-10-20</x:v>
      </x:c>
    </x:row>
    <x:row r="27">
      <x:c r="A27" s="79" t="str">
        <x:v>HI-URL-023</x:v>
      </x:c>
      <x:c r="B27" s="79" t="str">
        <x:v>Geoffrey Hinton</x:v>
      </x:c>
      <x:c r="C27" s="79" t="str">
        <x:v>https://www.cs.toronto.edu/~hinton/reviewpap.html</x:v>
      </x:c>
      <x:c r="D27" s="79" t="str">
        <x:v>Review papers bibliography</x:v>
      </x:c>
      <x:c r="E27" s="79" t="str">
        <x:v>Topic bibliography</x:v>
      </x:c>
      <x:c r="F27" s="79" t="str">
        <x:v>First-party</x:v>
      </x:c>
      <x:c r="G27" s="79" t="str">
        <x:v>Found in site search</x:v>
      </x:c>
      <x:c r="H27" s="79" t="str">
        <x:v>Hinton publication topic page</x:v>
      </x:c>
      <x:c r="I27" s="79" t="str">
        <x:v>Review paper titles, authors, years, publisher/book details</x:v>
      </x:c>
      <x:c r="J27" s="79" t="str">
        <x:v>P2</x:v>
      </x:c>
      <x:c r="K27" s="79" t="str">
        <x:v>Use for discovery; deduplicate against master index</x:v>
      </x:c>
      <x:c r="L27" s="79" t="str">
        <x:v>Domain robots verified; crawl-delay 1 second</x:v>
      </x:c>
      <x:c r="M27" s="79" t="str">
        <x:v>Paper-level rights need review</x:v>
      </x:c>
      <x:c r="N27" s="79" t="str">
        <x:v>2026-10-20</x:v>
      </x:c>
    </x:row>
    <x:row r="28">
      <x:c r="A28" s="79" t="str">
        <x:v>YB-URL-001</x:v>
      </x:c>
      <x:c r="B28" s="79" t="str">
        <x:v>Yoshua Bengio</x:v>
      </x:c>
      <x:c r="C28" s="79" t="str">
        <x:v>https://yoshuabengio.org/en</x:v>
      </x:c>
      <x:c r="D28" s="79" t="str">
        <x:v>Homepage and news</x:v>
      </x:c>
      <x:c r="E28" s="79" t="str">
        <x:v>Discovery index</x:v>
      </x:c>
      <x:c r="F28" s="79" t="str">
        <x:v>First-party</x:v>
      </x:c>
      <x:c r="G28" s="79" t="str">
        <x:v>Opened</x:v>
      </x:c>
      <x:c r="H28" s="79" t="str">
        <x:v>Root landing page</x:v>
      </x:c>
      <x:c r="I28" s="79" t="str">
        <x:v>Profile/affiliations, featured news, internal article links, external destinations, TED/video links</x:v>
      </x:c>
      <x:c r="J28" s="79" t="str">
        <x:v>P1</x:v>
      </x:c>
      <x:c r="K28" s="79" t="str">
        <x:v>Enumerate first-party links; store external destinations separately</x:v>
      </x:c>
      <x:c r="L28" s="79" t="str">
        <x:v>robots.txt unverified in this pass</x:v>
      </x:c>
      <x:c r="M28" s="79" t="str">
        <x:v>Site/asset reuse terms not yet confirmed</x:v>
      </x:c>
      <x:c r="N28" s="79" t="str">
        <x:v>2026-10-20</x:v>
      </x:c>
    </x:row>
    <x:row r="29">
      <x:c r="A29" s="79" t="str">
        <x:v>YB-URL-002</x:v>
      </x:c>
      <x:c r="B29" s="79" t="str">
        <x:v>Yoshua Bengio</x:v>
      </x:c>
      <x:c r="C29" s="79" t="str">
        <x:v>https://yoshuabengio.org/en/research</x:v>
      </x:c>
      <x:c r="D29" s="79" t="str">
        <x:v>Research overview and key publications</x:v>
      </x:c>
      <x:c r="E29" s="79" t="str">
        <x:v>Research index</x:v>
      </x:c>
      <x:c r="F29" s="79" t="str">
        <x:v>First-party</x:v>
      </x:c>
      <x:c r="G29" s="79" t="str">
        <x:v>Opened</x:v>
      </x:c>
      <x:c r="H29" s="79" t="str">
        <x:v>Homepage navigation / research page</x:v>
      </x:c>
      <x:c r="I29" s="79" t="str">
        <x:v>Research area summaries, current and past research themes, selected publication cards and detail links</x:v>
      </x:c>
      <x:c r="J29" s="79" t="str">
        <x:v>P1</x:v>
      </x:c>
      <x:c r="K29" s="79" t="str">
        <x:v>Capture metadata and section structure; do not treat selected list as complete bibliography</x:v>
      </x:c>
      <x:c r="L29" s="79" t="str">
        <x:v>robots.txt unverified in this pass</x:v>
      </x:c>
      <x:c r="M29" s="79" t="str">
        <x:v>Site/asset reuse terms not yet confirmed</x:v>
      </x:c>
      <x:c r="N29" s="79" t="str">
        <x:v>2026-10-20</x:v>
      </x:c>
    </x:row>
    <x:row r="30">
      <x:c r="A30" s="79" t="str">
        <x:v>YB-URL-003</x:v>
      </x:c>
      <x:c r="B30" s="79" t="str">
        <x:v>Yoshua Bengio</x:v>
      </x:c>
      <x:c r="C30" s="79" t="str">
        <x:v>https://yoshuabengio.org/en/blog</x:v>
      </x:c>
      <x:c r="D30" s="79" t="str">
        <x:v>Blog index, categories, newest posts</x:v>
      </x:c>
      <x:c r="E30" s="79" t="str">
        <x:v>Blog index</x:v>
      </x:c>
      <x:c r="F30" s="79" t="str">
        <x:v>First-party</x:v>
      </x:c>
      <x:c r="G30" s="79" t="str">
        <x:v>Opened</x:v>
      </x:c>
      <x:c r="H30" s="79" t="str">
        <x:v>Homepage → See all blog posts</x:v>
      </x:c>
      <x:c r="I30" s="79" t="str">
        <x:v>Article title, author, publish date, category, teaser, detail URL</x:v>
      </x:c>
      <x:c r="J30" s="79" t="str">
        <x:v>P1</x:v>
      </x:c>
      <x:c r="K30" s="79" t="str">
        <x:v>Enumerate pagination and category filters; canonicalize article URLs</x:v>
      </x:c>
      <x:c r="L30" s="79" t="str">
        <x:v>robots.txt unverified in this pass</x:v>
      </x:c>
      <x:c r="M30" s="79" t="str">
        <x:v>Store metadata and permitted text only</x:v>
      </x:c>
      <x:c r="N30" s="79" t="str">
        <x:v>2026-10-20</x:v>
      </x:c>
    </x:row>
    <x:row r="31">
      <x:c r="A31" s="79" t="str">
        <x:v>YB-URL-004</x:v>
      </x:c>
      <x:c r="B31" s="79" t="str">
        <x:v>Yoshua Bengio</x:v>
      </x:c>
      <x:c r="C31" s="79" t="str">
        <x:v>https://yoshuabengio.org/en/blog?page=1</x:v>
      </x:c>
      <x:c r="D31" s="79" t="str">
        <x:v>Blog index — older entries sample</x:v>
      </x:c>
      <x:c r="E31" s="79" t="str">
        <x:v>Blog pagination</x:v>
      </x:c>
      <x:c r="F31" s="79" t="str">
        <x:v>First-party</x:v>
      </x:c>
      <x:c r="G31" s="79" t="str">
        <x:v>Opened</x:v>
      </x:c>
      <x:c r="H31" s="79" t="str">
        <x:v>Blog pagination URL</x:v>
      </x:c>
      <x:c r="I31" s="79" t="str">
        <x:v>Older article titles, author, dates, categories, detail URLs</x:v>
      </x:c>
      <x:c r="J31" s="79" t="str">
        <x:v>P1</x:v>
      </x:c>
      <x:c r="K31" s="79" t="str">
        <x:v>Enumerate all pagination pages after policy check</x:v>
      </x:c>
      <x:c r="L31" s="79" t="str">
        <x:v>robots.txt unverified in this pass</x:v>
      </x:c>
      <x:c r="M31" s="79" t="str">
        <x:v>Store metadata and permitted text only</x:v>
      </x:c>
      <x:c r="N31" s="79" t="str">
        <x:v>2026-10-20</x:v>
      </x:c>
    </x:row>
    <x:row r="32">
      <x:c r="A32" s="79" t="str">
        <x:v>YB-URL-005</x:v>
      </x:c>
      <x:c r="B32" s="79" t="str">
        <x:v>Yoshua Bengio</x:v>
      </x:c>
      <x:c r="C32" s="79" t="str">
        <x:v>https://yoshuabengio.org/en/blog/bengio-if-you-prioritize-safety-leave-frontier-ai-companies</x:v>
      </x:c>
      <x:c r="D32" s="79" t="str">
        <x:v>If you prioritize safety, leave frontier AI companies</x:v>
      </x:c>
      <x:c r="E32" s="79" t="str">
        <x:v>Blog article</x:v>
      </x:c>
      <x:c r="F32" s="79" t="str">
        <x:v>First-party</x:v>
      </x:c>
      <x:c r="G32" s="79" t="str">
        <x:v>Found in site search / homepage outbound card</x:v>
      </x:c>
      <x:c r="H32" s="79" t="str">
        <x:v>Blog / article</x:v>
      </x:c>
      <x:c r="I32" s="79" t="str">
        <x:v>Title, date, author, category, text where permitted, cited/external destination</x:v>
      </x:c>
      <x:c r="J32" s="79" t="str">
        <x:v>P1</x:v>
      </x:c>
      <x:c r="K32" s="79" t="str">
        <x:v>Capture article metadata and source references; separate linked Transformer op-ed</x:v>
      </x:c>
      <x:c r="L32" s="79" t="str">
        <x:v>robots.txt unverified in this pass</x:v>
      </x:c>
      <x:c r="M32" s="79" t="str">
        <x:v>Text reuse rights need confirmation</x:v>
      </x:c>
      <x:c r="N32" s="79" t="str">
        <x:v>2026-10-20</x:v>
      </x:c>
    </x:row>
    <x:row r="33">
      <x:c r="A33" s="79" t="str">
        <x:v>YB-URL-006</x:v>
      </x:c>
      <x:c r="B33" s="79" t="str">
        <x:v>Yoshua Bengio</x:v>
      </x:c>
      <x:c r="C33" s="79" t="str">
        <x:v>https://yoshuabengio.org/en/blog/dangerous-myth-behind-ai-agent-hacks</x:v>
      </x:c>
      <x:c r="D33" s="79" t="str">
        <x:v>The dangerous myth behind AI agent hacks</x:v>
      </x:c>
      <x:c r="E33" s="79" t="str">
        <x:v>Blog article</x:v>
      </x:c>
      <x:c r="F33" s="79" t="str">
        <x:v>First-party</x:v>
      </x:c>
      <x:c r="G33" s="79" t="str">
        <x:v>Found in site search / homepage external card</x:v>
      </x:c>
      <x:c r="H33" s="79" t="str">
        <x:v>Blog / article</x:v>
      </x:c>
      <x:c r="I33" s="79" t="str">
        <x:v>Title, date, author, category, text where permitted, cited/external destination</x:v>
      </x:c>
      <x:c r="J33" s="79" t="str">
        <x:v>P1</x:v>
      </x:c>
      <x:c r="K33" s="79" t="str">
        <x:v>Capture article metadata; distinguish Bengio page from FT article</x:v>
      </x:c>
      <x:c r="L33" s="79" t="str">
        <x:v>robots.txt unverified in this pass</x:v>
      </x:c>
      <x:c r="M33" s="79" t="str">
        <x:v>Text reuse rights need confirmation</x:v>
      </x:c>
      <x:c r="N33" s="79" t="str">
        <x:v>2026-10-20</x:v>
      </x:c>
    </x:row>
    <x:row r="34">
      <x:c r="A34" s="79" t="str">
        <x:v>YB-URL-007</x:v>
      </x:c>
      <x:c r="B34" s="79" t="str">
        <x:v>Yoshua Bengio</x:v>
      </x:c>
      <x:c r="C34" s="79" t="str">
        <x:v>https://yoshuabengio.org/en/blog/professor-yoshua-bengios-speech-un-security-council</x:v>
      </x:c>
      <x:c r="D34" s="79" t="str">
        <x:v>Speech at the UN Security Council</x:v>
      </x:c>
      <x:c r="E34" s="79" t="str">
        <x:v>Blog article / speech</x:v>
      </x:c>
      <x:c r="F34" s="79" t="str">
        <x:v>First-party</x:v>
      </x:c>
      <x:c r="G34" s="79" t="str">
        <x:v>Opened</x:v>
      </x:c>
      <x:c r="H34" s="79" t="str">
        <x:v>Homepage → article</x:v>
      </x:c>
      <x:c r="I34" s="79" t="str">
        <x:v>Title, date, author, category, speech text where permitted, references</x:v>
      </x:c>
      <x:c r="J34" s="79" t="str">
        <x:v>P1</x:v>
      </x:c>
      <x:c r="K34" s="79" t="str">
        <x:v>Capture page metadata and article text only if permitted</x:v>
      </x:c>
      <x:c r="L34" s="79" t="str">
        <x:v>robots.txt unverified in this pass</x:v>
      </x:c>
      <x:c r="M34" s="79" t="str">
        <x:v>Text reuse rights need confirmation</x:v>
      </x:c>
      <x:c r="N34" s="79" t="str">
        <x:v>2026-10-20</x:v>
      </x:c>
    </x:row>
    <x:row r="35">
      <x:c r="A35" s="79" t="str">
        <x:v>YB-URL-008</x:v>
      </x:c>
      <x:c r="B35" s="79" t="str">
        <x:v>Yoshua Bengio</x:v>
      </x:c>
      <x:c r="C35" s="79" t="str">
        <x:v>https://yoshuabengio.org/en/blog/why-are-ai-agents-lying-cheating-and-coordinating</x:v>
      </x:c>
      <x:c r="D35" s="79" t="str">
        <x:v>Why are AI agents lying, cheating and coordinating?</x:v>
      </x:c>
      <x:c r="E35" s="79" t="str">
        <x:v>Blog article</x:v>
      </x:c>
      <x:c r="F35" s="79" t="str">
        <x:v>First-party</x:v>
      </x:c>
      <x:c r="G35" s="79" t="str">
        <x:v>Found in site search / homepage</x:v>
      </x:c>
      <x:c r="H35" s="79" t="str">
        <x:v>Blog / article</x:v>
      </x:c>
      <x:c r="I35" s="79" t="str">
        <x:v>Title, date, author, category, arguments, referenced sources</x:v>
      </x:c>
      <x:c r="J35" s="79" t="str">
        <x:v>P1</x:v>
      </x:c>
      <x:c r="K35" s="79" t="str">
        <x:v>Capture first-party article metadata; preserve publication date</x:v>
      </x:c>
      <x:c r="L35" s="79" t="str">
        <x:v>robots.txt unverified in this pass</x:v>
      </x:c>
      <x:c r="M35" s="79" t="str">
        <x:v>Text reuse rights need confirmation</x:v>
      </x:c>
      <x:c r="N35" s="79" t="str">
        <x:v>2026-10-20</x:v>
      </x:c>
    </x:row>
    <x:row r="36">
      <x:c r="A36" s="79" t="str">
        <x:v>YB-URL-009</x:v>
      </x:c>
      <x:c r="B36" s="79" t="str">
        <x:v>Yoshua Bengio</x:v>
      </x:c>
      <x:c r="C36" s="79" t="str">
        <x:v>https://yoshuabengio.org/en/blog/implications-artificial-general-intelligence-national-and-international-security</x:v>
      </x:c>
      <x:c r="D36" s="79" t="str">
        <x:v>Implications of AGI on national and international security</x:v>
      </x:c>
      <x:c r="E36" s="79" t="str">
        <x:v>Blog article / policy essay</x:v>
      </x:c>
      <x:c r="F36" s="79" t="str">
        <x:v>First-party</x:v>
      </x:c>
      <x:c r="G36" s="79" t="str">
        <x:v>Found in site search</x:v>
      </x:c>
      <x:c r="H36" s="79" t="str">
        <x:v>Blog / article</x:v>
      </x:c>
      <x:c r="I36" s="79" t="str">
        <x:v>Title, date, author, category, outbound publication/report links</x:v>
      </x:c>
      <x:c r="J36" s="79" t="str">
        <x:v>P2</x:v>
      </x:c>
      <x:c r="K36" s="79" t="str">
        <x:v>Metadata-first; treat reports/outbound links separately</x:v>
      </x:c>
      <x:c r="L36" s="79" t="str">
        <x:v>robots.txt unverified in this pass</x:v>
      </x:c>
      <x:c r="M36" s="79" t="str">
        <x:v>Text reuse rights need confirmation</x:v>
      </x:c>
      <x:c r="N36" s="79" t="str">
        <x:v>2026-10-20</x:v>
      </x:c>
    </x:row>
    <x:row r="37">
      <x:c r="A37" s="79" t="str">
        <x:v>YB-URL-010</x:v>
      </x:c>
      <x:c r="B37" s="79" t="str">
        <x:v>Yoshua Bengio</x:v>
      </x:c>
      <x:c r="C37" s="79" t="str">
        <x:v>https://yoshuabengio.org/en/blog/bounding-probability-harm-ai-create-guardrail</x:v>
      </x:c>
      <x:c r="D37" s="79" t="str">
        <x:v>Bounding the probability of harm from an AI to create a guardrail</x:v>
      </x:c>
      <x:c r="E37" s="79" t="str">
        <x:v>Blog article / research commentary</x:v>
      </x:c>
      <x:c r="F37" s="79" t="str">
        <x:v>First-party</x:v>
      </x:c>
      <x:c r="G37" s="79" t="str">
        <x:v>Found in site search</x:v>
      </x:c>
      <x:c r="H37" s="79" t="str">
        <x:v>Blog / article</x:v>
      </x:c>
      <x:c r="I37" s="79" t="str">
        <x:v>Title, date, author, category, summary, publication references</x:v>
      </x:c>
      <x:c r="J37" s="79" t="str">
        <x:v>P1</x:v>
      </x:c>
      <x:c r="K37" s="79" t="str">
        <x:v>Capture metadata and reference graph</x:v>
      </x:c>
      <x:c r="L37" s="79" t="str">
        <x:v>robots.txt unverified in this pass</x:v>
      </x:c>
      <x:c r="M37" s="79" t="str">
        <x:v>Text reuse rights need confirmation</x:v>
      </x:c>
      <x:c r="N37" s="79" t="str">
        <x:v>2026-10-20</x:v>
      </x:c>
    </x:row>
    <x:row r="38">
      <x:c r="A38" s="79" t="str">
        <x:v>YB-URL-011</x:v>
      </x:c>
      <x:c r="B38" s="79" t="str">
        <x:v>Yoshua Bengio</x:v>
      </x:c>
      <x:c r="C38" s="79" t="str">
        <x:v>https://yoshuabengio.org/en/blog/international-scientific-report-safety-advanced-ai</x:v>
      </x:c>
      <x:c r="D38" s="79" t="str">
        <x:v>International Scientific Report on the Safety of Advanced AI</x:v>
      </x:c>
      <x:c r="E38" s="79" t="str">
        <x:v>Blog article / report pointer</x:v>
      </x:c>
      <x:c r="F38" s="79" t="str">
        <x:v>First-party</x:v>
      </x:c>
      <x:c r="G38" s="79" t="str">
        <x:v>Found in site search</x:v>
      </x:c>
      <x:c r="H38" s="79" t="str">
        <x:v>Blog / article</x:v>
      </x:c>
      <x:c r="I38" s="79" t="str">
        <x:v>Title, date, author, report link, summary, collaborators</x:v>
      </x:c>
      <x:c r="J38" s="79" t="str">
        <x:v>P1</x:v>
      </x:c>
      <x:c r="K38" s="79" t="str">
        <x:v>Store first-party entry and official report destination separately</x:v>
      </x:c>
      <x:c r="L38" s="79" t="str">
        <x:v>robots.txt unverified in this pass</x:v>
      </x:c>
      <x:c r="M38" s="79" t="str">
        <x:v>Report may be governed by a separate license</x:v>
      </x:c>
      <x:c r="N38" s="79" t="str">
        <x:v>2026-10-20</x:v>
      </x:c>
    </x:row>
    <x:row r="39">
      <x:c r="A39" s="79" t="str">
        <x:v>YB-URL-012</x:v>
      </x:c>
      <x:c r="B39" s="79" t="str">
        <x:v>Yoshua Bengio</x:v>
      </x:c>
      <x:c r="C39" s="79" t="str">
        <x:v>https://yoshuabengio.org/en/blog/generative-flow-networks</x:v>
      </x:c>
      <x:c r="D39" s="79" t="str">
        <x:v>Generative Flow Networks</x:v>
      </x:c>
      <x:c r="E39" s="79" t="str">
        <x:v>Blog article / research explanation</x:v>
      </x:c>
      <x:c r="F39" s="79" t="str">
        <x:v>First-party</x:v>
      </x:c>
      <x:c r="G39" s="79" t="str">
        <x:v>Found in site search</x:v>
      </x:c>
      <x:c r="H39" s="79" t="str">
        <x:v>Blog / article</x:v>
      </x:c>
      <x:c r="I39" s="79" t="str">
        <x:v>Title, date, author, research explanation, tutorial and paper links</x:v>
      </x:c>
      <x:c r="J39" s="79" t="str">
        <x:v>P2</x:v>
      </x:c>
      <x:c r="K39" s="79" t="str">
        <x:v>Capture metadata and related research links</x:v>
      </x:c>
      <x:c r="L39" s="79" t="str">
        <x:v>robots.txt unverified in this pass</x:v>
      </x:c>
      <x:c r="M39" s="79" t="str">
        <x:v>Text reuse rights need confirmation</x:v>
      </x:c>
      <x:c r="N39" s="79" t="str">
        <x:v>2026-10-20</x:v>
      </x:c>
    </x:row>
    <x:row r="40">
      <x:c r="A40" s="79" t="str">
        <x:v>YB-URL-013</x:v>
      </x:c>
      <x:c r="B40" s="79" t="str">
        <x:v>Yoshua Bengio</x:v>
      </x:c>
      <x:c r="C40" s="79" t="str">
        <x:v>https://yoshuabengio.org/en/blog/towards-cautious-scientist-ai-convergent-safety-bounds</x:v>
      </x:c>
      <x:c r="D40" s="79" t="str">
        <x:v>Towards a Cautious Scientist AI with Convergent Safety Bounds</x:v>
      </x:c>
      <x:c r="E40" s="79" t="str">
        <x:v>Blog article / research commentary</x:v>
      </x:c>
      <x:c r="F40" s="79" t="str">
        <x:v>First-party</x:v>
      </x:c>
      <x:c r="G40" s="79" t="str">
        <x:v>Found in site search</x:v>
      </x:c>
      <x:c r="H40" s="79" t="str">
        <x:v>Blog / article</x:v>
      </x:c>
      <x:c r="I40" s="79" t="str">
        <x:v>Title, date, author, category, paper/report links</x:v>
      </x:c>
      <x:c r="J40" s="79" t="str">
        <x:v>P1</x:v>
      </x:c>
      <x:c r="K40" s="79" t="str">
        <x:v>Capture metadata and connect to publication records</x:v>
      </x:c>
      <x:c r="L40" s="79" t="str">
        <x:v>robots.txt unverified in this pass</x:v>
      </x:c>
      <x:c r="M40" s="79" t="str">
        <x:v>Text reuse rights need confirmation</x:v>
      </x:c>
      <x:c r="N40" s="79" t="str">
        <x:v>2026-10-20</x:v>
      </x:c>
    </x:row>
    <x:row r="41">
      <x:c r="A41" s="79" t="str">
        <x:v>YB-URL-014</x:v>
      </x:c>
      <x:c r="B41" s="79" t="str">
        <x:v>Yoshua Bengio</x:v>
      </x:c>
      <x:c r="C41" s="79" t="str">
        <x:v>https://yoshuabengio.org/en/blog/time-rethink-publication-process-machine-learning</x:v>
      </x:c>
      <x:c r="D41" s="79" t="str">
        <x:v>Time to rethink the publication process in machine learning</x:v>
      </x:c>
      <x:c r="E41" s="79" t="str">
        <x:v>Blog article / publication commentary</x:v>
      </x:c>
      <x:c r="F41" s="79" t="str">
        <x:v>First-party</x:v>
      </x:c>
      <x:c r="G41" s="79" t="str">
        <x:v>Found in site search</x:v>
      </x:c>
      <x:c r="H41" s="79" t="str">
        <x:v>Blog / article</x:v>
      </x:c>
      <x:c r="I41" s="79" t="str">
        <x:v>Title, date, author, category, cited venues and sources</x:v>
      </x:c>
      <x:c r="J41" s="79" t="str">
        <x:v>P2</x:v>
      </x:c>
      <x:c r="K41" s="79" t="str">
        <x:v>Include as historical commentary on research dissemination</x:v>
      </x:c>
      <x:c r="L41" s="79" t="str">
        <x:v>robots.txt unverified in this pass</x:v>
      </x:c>
      <x:c r="M41" s="79" t="str">
        <x:v>Text reuse rights need confirmation</x:v>
      </x:c>
      <x:c r="N41" s="79" t="str">
        <x:v>2026-10-20</x:v>
      </x:c>
    </x:row>
    <x:row r="42">
      <x:c r="A42" s="79" t="str">
        <x:v>YB-URL-015</x:v>
      </x:c>
      <x:c r="B42" s="79" t="str">
        <x:v>Yoshua Bengio</x:v>
      </x:c>
      <x:c r="C42" s="79" t="str">
        <x:v>https://yoshuabengio.org/en/publication/safety-honesty-disinterested-ai-predictor</x:v>
      </x:c>
      <x:c r="D42" s="79" t="str">
        <x:v>Safety from Honesty in a Disinterested AI Predictor</x:v>
      </x:c>
      <x:c r="E42" s="79" t="str">
        <x:v>Publication detail page</x:v>
      </x:c>
      <x:c r="F42" s="79" t="str">
        <x:v>First-party</x:v>
      </x:c>
      <x:c r="G42" s="79" t="str">
        <x:v>Opened</x:v>
      </x:c>
      <x:c r="H42" s="79" t="str">
        <x:v>Homepage / research key publication card</x:v>
      </x:c>
      <x:c r="I42" s="79" t="str">
        <x:v>Title, authors, published date, abstract/summary, full-text link, identifiers</x:v>
      </x:c>
      <x:c r="J42" s="79" t="str">
        <x:v>P1</x:v>
      </x:c>
      <x:c r="K42" s="79" t="str">
        <x:v>Metadata-first; link to arXiv record; paper license checked separately</x:v>
      </x:c>
      <x:c r="L42" s="79" t="str">
        <x:v>robots.txt unverified in this pass</x:v>
      </x:c>
      <x:c r="M42" s="79" t="str">
        <x:v>Paper license and reuse terms need review</x:v>
      </x:c>
      <x:c r="N42" s="79" t="str">
        <x:v>2026-10-20</x:v>
      </x:c>
    </x:row>
    <x:row r="43">
      <x:c r="A43" s="79" t="str">
        <x:v>EXT-URL-001</x:v>
      </x:c>
      <x:c r="B43" s="79" t="str">
        <x:v>Yoshua Bengio / external publisher</x:v>
      </x:c>
      <x:c r="C43" s="79" t="str">
        <x:v>https://www.transformernews.ai/p/yoshua-bengio-if-you-prioritize-safety-leave-frontier-ai-companies</x:v>
      </x:c>
      <x:c r="D43" s="79" t="str">
        <x:v>Transformer op-ed destination</x:v>
      </x:c>
      <x:c r="E43" s="79" t="str">
        <x:v>External article link</x:v>
      </x:c>
      <x:c r="F43" s="79" t="str">
        <x:v>External — record only</x:v>
      </x:c>
      <x:c r="G43" s="79" t="str">
        <x:v>Link observed</x:v>
      </x:c>
      <x:c r="H43" s="79" t="str">
        <x:v>Bengio homepage / news card</x:v>
      </x:c>
      <x:c r="I43" s="79" t="str">
        <x:v>Destination URL, publisher, anchor title, originating Bengio page</x:v>
      </x:c>
      <x:c r="J43" s="79" t="str">
        <x:v>P3</x:v>
      </x:c>
      <x:c r="K43" s="79" t="str">
        <x:v>Save outbound reference only; separate permission/review before crawling</x:v>
      </x:c>
      <x:c r="L43" s="79" t="str">
        <x:v>Not applicable to source domain; target domain needs own review</x:v>
      </x:c>
      <x:c r="M43" s="79" t="str">
        <x:v>Third-party rights apply</x:v>
      </x:c>
      <x:c r="N43" s="79" t="str">
        <x:v>2026-10-20</x:v>
      </x:c>
    </x:row>
    <x:row r="44">
      <x:c r="A44" s="79" t="str">
        <x:v>EXT-URL-002</x:v>
      </x:c>
      <x:c r="B44" s="79" t="str">
        <x:v>Yoshua Bengio / external publisher</x:v>
      </x:c>
      <x:c r="C44" s="79" t="str">
        <x:v>https://www.ft.com/content/7afaf77b-b027-4a0f-8d53-5e88e7d6f5e4</x:v>
      </x:c>
      <x:c r="D44" s="79" t="str">
        <x:v>Financial Times op-ed destination</x:v>
      </x:c>
      <x:c r="E44" s="79" t="str">
        <x:v>External article link</x:v>
      </x:c>
      <x:c r="F44" s="79" t="str">
        <x:v>External — record only</x:v>
      </x:c>
      <x:c r="G44" s="79" t="str">
        <x:v>Link observed</x:v>
      </x:c>
      <x:c r="H44" s="79" t="str">
        <x:v>Bengio homepage / news card</x:v>
      </x:c>
      <x:c r="I44" s="79" t="str">
        <x:v>Destination URL, publisher, anchor title, originating Bengio page</x:v>
      </x:c>
      <x:c r="J44" s="79" t="str">
        <x:v>P3</x:v>
      </x:c>
      <x:c r="K44" s="79" t="str">
        <x:v>Save outbound reference only; do not ingest full article by default</x:v>
      </x:c>
      <x:c r="L44" s="79" t="str">
        <x:v>Target domain needs own review</x:v>
      </x:c>
      <x:c r="M44" s="79" t="str">
        <x:v>Copyright/paywall likely; no full-text copying by default</x:v>
      </x:c>
      <x:c r="N44" s="79" t="str">
        <x:v>2026-10-20</x:v>
      </x:c>
    </x:row>
    <x:row r="45">
      <x:c r="A45" s="79" t="str">
        <x:v>EXT-URL-003</x:v>
      </x:c>
      <x:c r="B45" s="79" t="str">
        <x:v>Yoshua Bengio / external publisher</x:v>
      </x:c>
      <x:c r="C45" s="79" t="str">
        <x:v>https://time.com/article/2026/09/09/ai-is-at-a-turning-point/</x:v>
      </x:c>
      <x:c r="D45" s="79" t="str">
        <x:v>TIME article destination</x:v>
      </x:c>
      <x:c r="E45" s="79" t="str">
        <x:v>External article link</x:v>
      </x:c>
      <x:c r="F45" s="79" t="str">
        <x:v>External — record only</x:v>
      </x:c>
      <x:c r="G45" s="79" t="str">
        <x:v>Link observed</x:v>
      </x:c>
      <x:c r="H45" s="79" t="str">
        <x:v>Bengio homepage / news card</x:v>
      </x:c>
      <x:c r="I45" s="79" t="str">
        <x:v>Destination URL, publisher, anchor title, originating Bengio page</x:v>
      </x:c>
      <x:c r="J45" s="79" t="str">
        <x:v>P3</x:v>
      </x:c>
      <x:c r="K45" s="79" t="str">
        <x:v>Save outbound reference only; separate future connector</x:v>
      </x:c>
      <x:c r="L45" s="79" t="str">
        <x:v>Target domain needs own review</x:v>
      </x:c>
      <x:c r="M45" s="79" t="str">
        <x:v>Third-party rights apply</x:v>
      </x:c>
      <x:c r="N45" s="79" t="str">
        <x:v>2026-10-20</x:v>
      </x:c>
    </x:row>
    <x:row r="46">
      <x:c r="A46" s="79" t="str">
        <x:v>EXT-URL-004</x:v>
      </x:c>
      <x:c r="B46" s="79" t="str">
        <x:v>Yoshua Bengio / external research archive</x:v>
      </x:c>
      <x:c r="C46" s="79" t="str">
        <x:v>https://arxiv.org/abs/2606.29657</x:v>
      </x:c>
      <x:c r="D46" s="79" t="str">
        <x:v>arXiv record for safety publication</x:v>
      </x:c>
      <x:c r="E46" s="79" t="str">
        <x:v>External research record</x:v>
      </x:c>
      <x:c r="F46" s="79" t="str">
        <x:v>External — record only</x:v>
      </x:c>
      <x:c r="G46" s="79" t="str">
        <x:v>Link observed</x:v>
      </x:c>
      <x:c r="H46" s="79" t="str">
        <x:v>Bengio publication page</x:v>
      </x:c>
      <x:c r="I46" s="79" t="str">
        <x:v>arXiv ID, title, authors, abstract, versions, license, PDF/HTML links</x:v>
      </x:c>
      <x:c r="J46" s="79" t="str">
        <x:v>P1 (later connector)</x:v>
      </x:c>
      <x:c r="K46" s="79" t="str">
        <x:v>Record pointer now; ingest metadata using the arXiv API in a later phase</x:v>
      </x:c>
      <x:c r="L46" s="79" t="str">
        <x:v>External API/policy; separate connector</x:v>
      </x:c>
      <x:c r="M46" s="79" t="str">
        <x:v>Full text/PDF use governed by paper license and arXiv policies</x:v>
      </x:c>
      <x:c r="N46" s="79" t="str">
        <x:v>2026-10-20</x:v>
      </x:c>
    </x:row>
    <x:row r="47">
      <x:c r="A47" s="79" t="str">
        <x:v>EXT-URL-005</x:v>
      </x:c>
      <x:c r="B47" s="79" t="str">
        <x:v>Yoshua Bengio / public video</x:v>
      </x:c>
      <x:c r="C47" s="79" t="str">
        <x:v>https://www.youtube.com/watch?v=qe9QSCF-d88</x:v>
      </x:c>
      <x:c r="D47" s="79" t="str">
        <x:v>TED Talk video</x:v>
      </x:c>
      <x:c r="E47" s="79" t="str">
        <x:v>External video link</x:v>
      </x:c>
      <x:c r="F47" s="79" t="str">
        <x:v>External — record only</x:v>
      </x:c>
      <x:c r="G47" s="79" t="str">
        <x:v>Link observed</x:v>
      </x:c>
      <x:c r="H47" s="79" t="str">
        <x:v>Bengio homepage</x:v>
      </x:c>
      <x:c r="I47" s="79" t="str">
        <x:v>Title, event/date, video URL, caption/transcript availability</x:v>
      </x:c>
      <x:c r="J47" s="79" t="str">
        <x:v>P3</x:v>
      </x:c>
      <x:c r="K47" s="79" t="str">
        <x:v>Record URL and metadata; no downloading/rehosting</x:v>
      </x:c>
      <x:c r="L47" s="79" t="str">
        <x:v>YouTube platform terms apply</x:v>
      </x:c>
      <x:c r="M47" s="79" t="str">
        <x:v>Transcript rights and access rules to verify</x:v>
      </x:c>
      <x:c r="N47" s="79" t="str">
        <x:v>2026-10-20</x:v>
      </x:c>
    </x:row>
    <x:row r="48">
      <x:c r="A48" s="79" t="str">
        <x:v>EXT-URL-006</x:v>
      </x:c>
      <x:c r="B48" s="79" t="str">
        <x:v>Yoshua Bengio / official report</x:v>
      </x:c>
      <x:c r="C48" s="79" t="str">
        <x:v>https://internationalaisafetyreport.org/</x:v>
      </x:c>
      <x:c r="D48" s="79" t="str">
        <x:v>International AI Safety Report official site</x:v>
      </x:c>
      <x:c r="E48" s="79" t="str">
        <x:v>External report destination</x:v>
      </x:c>
      <x:c r="F48" s="79" t="str">
        <x:v>External — record only</x:v>
      </x:c>
      <x:c r="G48" s="79" t="str">
        <x:v>Link observed</x:v>
      </x:c>
      <x:c r="H48" s="79" t="str">
        <x:v>Bengio homepage</x:v>
      </x:c>
      <x:c r="I48" s="79" t="str">
        <x:v>Report editions, publication date, contributors, official file links</x:v>
      </x:c>
      <x:c r="J48" s="79" t="str">
        <x:v>P2</x:v>
      </x:c>
      <x:c r="K48" s="79" t="str">
        <x:v>Record official destination; add as separate source only after review</x:v>
      </x:c>
      <x:c r="L48" s="79" t="str">
        <x:v>Target domain needs own review</x:v>
      </x:c>
      <x:c r="M48" s="79" t="str">
        <x:v>Report-specific license/reuse terms to verify</x:v>
      </x:c>
      <x:c r="N48" s="79" t="str">
        <x:v>2026-10-20</x:v>
      </x:c>
    </x:row>
    <x:row r="49">
      <x:c r="A49" s="79" t="str">
        <x:v>EXT-URL-007</x:v>
      </x:c>
      <x:c r="B49" s="79" t="str">
        <x:v>Yoshua Bengio / research organization</x:v>
      </x:c>
      <x:c r="C49" s="79" t="str">
        <x:v>https://lawzero.org/en/unlisted/scientist-ai-safe-design-not-desiring</x:v>
      </x:c>
      <x:c r="D49" s="79" t="str">
        <x:v>LawZero Scientist AI article</x:v>
      </x:c>
      <x:c r="E49" s="79" t="str">
        <x:v>External research organization link</x:v>
      </x:c>
      <x:c r="F49" s="79" t="str">
        <x:v>External — record only</x:v>
      </x:c>
      <x:c r="G49" s="79" t="str">
        <x:v>Link observed</x:v>
      </x:c>
      <x:c r="H49" s="79" t="str">
        <x:v>Bengio homepage</x:v>
      </x:c>
      <x:c r="I49" s="79" t="str">
        <x:v>Article title/date, organization, relation to Bengio page, paper references</x:v>
      </x:c>
      <x:c r="J49" s="79" t="str">
        <x:v>P2</x:v>
      </x:c>
      <x:c r="K49" s="79" t="str">
        <x:v>Record pointer; add LawZero as a separately approved source later</x:v>
      </x:c>
      <x:c r="L49" s="79" t="str">
        <x:v>Target domain needs own review</x:v>
      </x:c>
      <x:c r="M49" s="79" t="str">
        <x:v>Reuse terms of external site/assets to verify</x:v>
      </x:c>
      <x:c r="N49" s="79" t="str">
        <x:v>2026-10-20</x:v>
      </x:c>
    </x:row>
    <x:row r="50">
      <x:c r="A50" s="79" t="str">
        <x:v>EXT-URL-008</x:v>
      </x:c>
      <x:c r="B50" s="79" t="str">
        <x:v>Geoffrey Hinton / cross-owner course link</x:v>
      </x:c>
      <x:c r="C50" s="79" t="str">
        <x:v>https://www.cs.toronto.edu/~tijmen/csc321/</x:v>
      </x:c>
      <x:c r="D50" s="79" t="str">
        <x:v>CSC321 course archive maintained under a different path/owner</x:v>
      </x:c>
      <x:c r="E50" s="79" t="str">
        <x:v>Cross-owner course link</x:v>
      </x:c>
      <x:c r="F50" s="79" t="str">
        <x:v>External/cross-owner — record only</x:v>
      </x:c>
      <x:c r="G50" s="79" t="str">
        <x:v>Link observed</x:v>
      </x:c>
      <x:c r="H50" s="79" t="str">
        <x:v>Hinton homepage → 2013 undergraduate course</x:v>
      </x:c>
      <x:c r="I50" s="79" t="str">
        <x:v>Course title, external link, lecture/resources available</x:v>
      </x:c>
      <x:c r="J50" s="79" t="str">
        <x:v>P3</x:v>
      </x:c>
      <x:c r="K50" s="79" t="str">
        <x:v>Store link only; do not recursively crawl in the Hinton collection</x:v>
      </x:c>
      <x:c r="L50" s="79" t="str">
        <x:v>University domain robots verified; one-second delay</x:v>
      </x:c>
      <x:c r="M50" s="79" t="str">
        <x:v>Course materials may be owned/maintained separately</x:v>
      </x:c>
      <x:c r="N50" s="79" t="str">
        <x:v>2026-10-20</x:v>
      </x:c>
    </x:row>
    <x:row r="51">
      <x:c r="A51" s="79" t="str">
        <x:v>CTRL-URL-001</x:v>
      </x:c>
      <x:c r="B51" s="79" t="str">
        <x:v>University of Toronto domain</x:v>
      </x:c>
      <x:c r="C51" s="79" t="str">
        <x:v>https://www.cs.toronto.edu/robots.txt</x:v>
      </x:c>
      <x:c r="D51" s="79" t="str">
        <x:v>Robots policy</x:v>
      </x:c>
      <x:c r="E51" s="79" t="str">
        <x:v>Compliance endpoint</x:v>
      </x:c>
      <x:c r="F51" s="79" t="str">
        <x:v>Control endpoint</x:v>
      </x:c>
      <x:c r="G51" s="79" t="str">
        <x:v>Opened</x:v>
      </x:c>
      <x:c r="H51" s="79" t="str">
        <x:v>Direct robots.txt check</x:v>
      </x:c>
      <x:c r="I51" s="79" t="str">
        <x:v>User-agent directives, disallowed paths, Crawl-delay</x:v>
      </x:c>
      <x:c r="J51" s="79" t="str">
        <x:v>Blocking prerequisite</x:v>
      </x:c>
      <x:c r="K51" s="79" t="str">
        <x:v>Respect Crawl-delay: 1 second; assess applicable paths</x:v>
      </x:c>
      <x:c r="L51" s="79" t="str">
        <x:v>Verified: Crawl-delay 1 second; target Hinton paths not listed as disallowed in visible rules</x:v>
      </x:c>
      <x:c r="M51" s="79" t="str">
        <x:v>Robots guidance is not a content license</x:v>
      </x:c>
      <x:c r="N51" s="79" t="str">
        <x:v>2026-10-20</x:v>
      </x:c>
    </x:row>
    <x:row r="52">
      <x:c r="A52" s="79" t="str">
        <x:v>CTRL-URL-002</x:v>
      </x:c>
      <x:c r="B52" s="79" t="str">
        <x:v>University of Toronto domain</x:v>
      </x:c>
      <x:c r="C52" s="79" t="str">
        <x:v>https://www.cs.toronto.edu/sitemap.xml</x:v>
      </x:c>
      <x:c r="D52" s="79" t="str">
        <x:v>Potential sitemap endpoint</x:v>
      </x:c>
      <x:c r="E52" s="79" t="str">
        <x:v>Compliance endpoint</x:v>
      </x:c>
      <x:c r="F52" s="79" t="str">
        <x:v>Control endpoint</x:v>
      </x:c>
      <x:c r="G52" s="79" t="str">
        <x:v>Unverified — not accessible through research browser</x:v>
      </x:c>
      <x:c r="H52" s="79" t="str">
        <x:v>Direct endpoint attempt</x:v>
      </x:c>
      <x:c r="I52" s="79" t="str">
        <x:v>Sitemap index or URL inventory, if endpoint exists</x:v>
      </x:c>
      <x:c r="J52" s="79" t="str">
        <x:v>Blocking prerequisite</x:v>
      </x:c>
      <x:c r="K52" s="79" t="str">
        <x:v>Check robots Sitemap directives and site's published sitemap; do not assume absence</x:v>
      </x:c>
      <x:c r="L52" s="79" t="str">
        <x:v>Unverified</x:v>
      </x:c>
      <x:c r="M52" s="79" t="str">
        <x:v>N/A</x:v>
      </x:c>
      <x:c r="N52" s="79" t="str">
        <x:v>2026-10-20</x:v>
      </x:c>
    </x:row>
    <x:row r="53">
      <x:c r="A53" s="79" t="str">
        <x:v>CTRL-URL-003</x:v>
      </x:c>
      <x:c r="B53" s="79" t="str">
        <x:v>Yoshua Bengio domain</x:v>
      </x:c>
      <x:c r="C53" s="79" t="str">
        <x:v>https://yoshuabengio.org/robots.txt</x:v>
      </x:c>
      <x:c r="D53" s="79" t="str">
        <x:v>Robots policy</x:v>
      </x:c>
      <x:c r="E53" s="79" t="str">
        <x:v>Compliance endpoint</x:v>
      </x:c>
      <x:c r="F53" s="79" t="str">
        <x:v>Control endpoint</x:v>
      </x:c>
      <x:c r="G53" s="79" t="str">
        <x:v>Unverified — not accessible through research browser</x:v>
      </x:c>
      <x:c r="H53" s="79" t="str">
        <x:v>Direct endpoint attempt</x:v>
      </x:c>
      <x:c r="I53" s="79" t="str">
        <x:v>User-agent directives, disallowed paths, crawl delay</x:v>
      </x:c>
      <x:c r="J53" s="79" t="str">
        <x:v>Blocking prerequisite</x:v>
      </x:c>
      <x:c r="K53" s="79" t="str">
        <x:v>Verify in the actual crawler environment before requests</x:v>
      </x:c>
      <x:c r="L53" s="79" t="str">
        <x:v>Unverified</x:v>
      </x:c>
      <x:c r="M53" s="79" t="str">
        <x:v>Robots guidance is not a content license</x:v>
      </x:c>
      <x:c r="N53" s="79" t="str">
        <x:v>2026-10-20</x:v>
      </x:c>
    </x:row>
    <x:row r="54">
      <x:c r="A54" s="79" t="str">
        <x:v>CTRL-URL-004</x:v>
      </x:c>
      <x:c r="B54" s="79" t="str">
        <x:v>Yoshua Bengio domain</x:v>
      </x:c>
      <x:c r="C54" s="79" t="str">
        <x:v>https://yoshuabengio.org/sitemap.xml</x:v>
      </x:c>
      <x:c r="D54" s="79" t="str">
        <x:v>Potential sitemap endpoint</x:v>
      </x:c>
      <x:c r="E54" s="79" t="str">
        <x:v>Compliance endpoint</x:v>
      </x:c>
      <x:c r="F54" s="79" t="str">
        <x:v>Control endpoint</x:v>
      </x:c>
      <x:c r="G54" s="79" t="str">
        <x:v>Unverified — not accessible through research browser</x:v>
      </x:c>
      <x:c r="H54" s="79" t="str">
        <x:v>Direct endpoint attempt</x:v>
      </x:c>
      <x:c r="I54" s="79" t="str">
        <x:v>Sitemap index or URL inventory, if endpoint exists</x:v>
      </x:c>
      <x:c r="J54" s="79" t="str">
        <x:v>Blocking prerequisite</x:v>
      </x:c>
      <x:c r="K54" s="79" t="str">
        <x:v>Check robots Sitemap directives and common sitemap locations from runtime</x:v>
      </x:c>
      <x:c r="L54" s="79" t="str">
        <x:v>Unverified</x:v>
      </x:c>
      <x:c r="M54" s="79" t="str">
        <x:v>N/A</x:v>
      </x:c>
      <x:c r="N54" s="79" t="str">
        <x:v>2026-10-20</x:v>
      </x:c>
    </x:row>
    <x:row r="55">
      <x:c r="A55" s="79" t="str">
        <x:v>CTRL-URL-005</x:v>
      </x:c>
      <x:c r="B55" s="79" t="str">
        <x:v>Yoshua Bengio domain</x:v>
      </x:c>
      <x:c r="C55" s="79" t="str">
        <x:v>https://yoshuabengio.org/wp-sitemap.xml</x:v>
      </x:c>
      <x:c r="D55" s="79" t="str">
        <x:v>Potential WordPress sitemap endpoint</x:v>
      </x:c>
      <x:c r="E55" s="79" t="str">
        <x:v>Compliance endpoint</x:v>
      </x:c>
      <x:c r="F55" s="79" t="str">
        <x:v>Control endpoint</x:v>
      </x:c>
      <x:c r="G55" s="79" t="str">
        <x:v>Unverified — not accessible through research browser</x:v>
      </x:c>
      <x:c r="H55" s="79" t="str">
        <x:v>Direct endpoint attempt</x:v>
      </x:c>
      <x:c r="I55" s="79" t="str">
        <x:v>WordPress page/post URL inventory, if endpoint exists</x:v>
      </x:c>
      <x:c r="J55" s="79" t="str">
        <x:v>Blocking prerequisite</x:v>
      </x:c>
      <x:c r="K55" s="79" t="str">
        <x:v>Check from runtime; treat endpoint failure as unverified, not absent</x:v>
      </x:c>
      <x:c r="L55" s="79" t="str">
        <x:v>Unverified</x:v>
      </x:c>
      <x:c r="M55" s="79" t="str">
        <x:v>N/A</x:v>
      </x:c>
      <x:c r="N55" s="79" t="str">
        <x:v>2026-10-20</x:v>
      </x:c>
    </x:row>
    <x:row r="56">
      <x:c r="A56" s="79" t="str">
        <x:v>CTRL-URL-006</x:v>
      </x:c>
      <x:c r="B56" s="79" t="str">
        <x:v>Yoshua Bengio domain</x:v>
      </x:c>
      <x:c r="C56" s="79" t="str">
        <x:v>https://yoshuabengio.org/sitemap_index.xml</x:v>
      </x:c>
      <x:c r="D56" s="79" t="str">
        <x:v>Potential sitemap-index endpoint</x:v>
      </x:c>
      <x:c r="E56" s="79" t="str">
        <x:v>Compliance endpoint</x:v>
      </x:c>
      <x:c r="F56" s="79" t="str">
        <x:v>Control endpoint</x:v>
      </x:c>
      <x:c r="G56" s="79" t="str">
        <x:v>Unverified — not accessible through research browser</x:v>
      </x:c>
      <x:c r="H56" s="79" t="str">
        <x:v>Direct endpoint attempt</x:v>
      </x:c>
      <x:c r="I56" s="79" t="str">
        <x:v>Sitemap index, if endpoint exists</x:v>
      </x:c>
      <x:c r="J56" s="79" t="str">
        <x:v>Blocking prerequisite</x:v>
      </x:c>
      <x:c r="K56" s="79" t="str">
        <x:v>Check only after reviewing robots.txt and site implementation</x:v>
      </x:c>
      <x:c r="L56" s="79" t="str">
        <x:v>Unverified</x:v>
      </x:c>
      <x:c r="M56" s="79" t="str">
        <x:v>N/A</x:v>
      </x:c>
      <x:c r="N56" s="79" t="str">
        <x:v>2026-10-20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281db7855934cd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64" hidden="0" customWidth="1"/>
    <x:col min="3" max="3" width="18" hidden="0" customWidth="1"/>
    <x:col min="4" max="4" width="34" hidden="0" customWidth="1"/>
    <x:col min="5" max="5" width="58" hidden="0" customWidth="1"/>
  </x:cols>
  <x:sheetData>
    <x:row r="1" ht="30" customHeight="1">
      <x:c r="A1" s="69" t="str">
        <x:v>Collection Size — Evidence-Based Baseline</x:v>
      </x:c>
      <x:c r="B1" s="69"/>
      <x:c r="C1" s="69"/>
      <x:c r="D1" s="69"/>
      <x:c r="E1" s="69"/>
    </x:row>
    <x:row r="2" ht="30" customHeight="1">
      <x:c r="A2" s="73" t="str">
        <x:v>Observed from accessible index pages on 2026-10-20. Listing counts can overlap; exact unique document totals require approved, rate-limited enumeration.</x:v>
      </x:c>
      <x:c r="B2" s="73"/>
      <x:c r="C2" s="73"/>
      <x:c r="D2" s="73"/>
      <x:c r="E2" s="73"/>
    </x:row>
    <x:row r="4" ht="30" customHeight="1">
      <x:c r="A4" s="78" t="str">
        <x:v>Metric</x:v>
      </x:c>
      <x:c r="B4" s="78" t="str">
        <x:v>Observed baseline</x:v>
      </x:c>
      <x:c r="C4" s="78" t="str">
        <x:v>Count / value</x:v>
      </x:c>
      <x:c r="D4" s="78" t="str">
        <x:v>Confidence</x:v>
      </x:c>
      <x:c r="E4" s="78" t="str">
        <x:v>Next action</x:v>
      </x:c>
    </x:row>
    <x:row r="5">
      <x:c r="A5" s="50" t="str">
        <x:v>Seed URL manifest rows</x:v>
      </x:c>
      <x:c r="B5" s="50" t="str">
        <x:v>First-party pages + external reference pointers + policy endpoints</x:v>
      </x:c>
      <x:c r="C5" s="50" t="n">
        <x:f>COUNTA('URL Manifest'!A5:A56)</x:f>
        <x:v>52</x:v>
      </x:c>
      <x:c r="D5" s="50" t="str">
        <x:v>Exact inventory count</x:v>
      </x:c>
      <x:c r="E5" s="50" t="str">
        <x:v>Use as starting allowlist; classify/approve before fetching</x:v>
      </x:c>
    </x:row>
    <x:row r="6">
      <x:c r="A6" s="50" t="str">
        <x:v>First-party and first-party/legacy URLs</x:v>
      </x:c>
      <x:c r="B6" s="50" t="str">
        <x:v>Internal source pages across both sites</x:v>
      </x:c>
      <x:c r="C6" s="50" t="n">
        <x:f>COUNTIF('URL Manifest'!F5:F56,"First-party")+COUNTIF('URL Manifest'!F5:F56,"First-party / legacy")</x:f>
        <x:v>38</x:v>
      </x:c>
      <x:c r="D6" s="50" t="str">
        <x:v>Exact inventory count</x:v>
      </x:c>
      <x:c r="E6" s="50" t="str">
        <x:v>Crawl only after each domain's policy gate</x:v>
      </x:c>
    </x:row>
    <x:row r="7">
      <x:c r="A7" s="50" t="str">
        <x:v>External reference records</x:v>
      </x:c>
      <x:c r="B7" s="50" t="str">
        <x:v>URLs recorded for later connectors; not approved to crawl recursively</x:v>
      </x:c>
      <x:c r="C7" s="50" t="n">
        <x:f>COUNTIF('URL Manifest'!F5:F56,"External — record only")+COUNTIF('URL Manifest'!F5:F56,"External/cross-owner — record only")</x:f>
        <x:v>8</x:v>
      </x:c>
      <x:c r="D7" s="50" t="str">
        <x:v>Exact inventory count</x:v>
      </x:c>
      <x:c r="E7" s="50" t="str">
        <x:v>Keep as link graph; evaluate target domains separately</x:v>
      </x:c>
    </x:row>
    <x:row r="8">
      <x:c r="A8" s="50" t="str">
        <x:v>Unverified compliance endpoints</x:v>
      </x:c>
      <x:c r="B8" s="50" t="str">
        <x:v>Endpoints whose responses could not be retrieved in this research pass</x:v>
      </x:c>
      <x:c r="C8" s="50" t="n">
        <x:f>COUNTIF('URL Manifest'!G5:G56,"Unverified — not accessible through research browser")</x:f>
        <x:v>5</x:v>
      </x:c>
      <x:c r="D8" s="50" t="str">
        <x:v>Exact count of currently unresolved entries</x:v>
      </x:c>
      <x:c r="E8" s="50" t="str">
        <x:v>Recheck robots/sitemap in runtime that will execute the crawler</x:v>
      </x:c>
    </x:row>
    <x:row r="9">
      <x:c r="A9" s="50" t="str">
        <x:v>Hinton legacy publication years/ranges</x:v>
      </x:c>
      <x:c r="B9" s="50" t="str">
        <x:v>The chronological index displays links spanning 1976–2022</x:v>
      </x:c>
      <x:c r="C9" s="50" t="n">
        <x:v>39</x:v>
      </x:c>
      <x:c r="D9" s="50" t="str">
        <x:v>Observed link count</x:v>
      </x:c>
      <x:c r="E9" s="50" t="str">
        <x:v>Enumerate publication entries and deduplicate with the newer publications index</x:v>
      </x:c>
    </x:row>
    <x:row r="10">
      <x:c r="A10" s="50" t="str">
        <x:v>Hinton Coursera lecture entries</x:v>
      </x:c>
      <x:c r="B10" s="50" t="str">
        <x:v>The lecture index exposes linked lecture entries labelled through 16c</x:v>
      </x:c>
      <x:c r="C10" s="50" t="n">
        <x:v>76</x:v>
      </x:c>
      <x:c r="D10" s="50" t="str">
        <x:v>Observed index links</x:v>
      </x:c>
      <x:c r="E10" s="50" t="str">
        <x:v>Extract title and link; do not download video by default</x:v>
      </x:c>
    </x:row>
    <x:row r="11">
      <x:c r="A11" s="50" t="str">
        <x:v>Hinton Coursera slide files</x:v>
      </x:c>
      <x:c r="B11" s="50" t="str">
        <x:v>16 lecture rows × PPTX and PDF</x:v>
      </x:c>
      <x:c r="C11" s="50" t="n">
        <x:v>32</x:v>
      </x:c>
      <x:c r="D11" s="50" t="str">
        <x:v>Observed file links</x:v>
      </x:c>
      <x:c r="E11" s="50" t="str">
        <x:v>Record formats/URLs; check rights before storage or redistribution</x:v>
      </x:c>
    </x:row>
    <x:row r="12">
      <x:c r="A12" s="50" t="str">
        <x:v>Bengio blog index entries observed</x:v>
      </x:c>
      <x:c r="B12" s="50" t="str">
        <x:v>Eight visible entries on /en/blog and eight on /en/blog?page=1</x:v>
      </x:c>
      <x:c r="C12" s="50" t="n">
        <x:v>16</x:v>
      </x:c>
      <x:c r="D12" s="50" t="str">
        <x:v>Observed listing slots; deduplication not yet run</x:v>
      </x:c>
      <x:c r="E12" s="50" t="str">
        <x:v>Enumerate every page and category; canonicalize URLs</x:v>
      </x:c>
    </x:row>
    <x:row r="13">
      <x:c r="A13" s="50" t="str">
        <x:v>Selected Bengio first-party article records</x:v>
      </x:c>
      <x:c r="B13" s="50" t="str">
        <x:v>Ten sample blog/article pages plus one publication detail page in the seed manifest</x:v>
      </x:c>
      <x:c r="C13" s="50" t="n">
        <x:v>11</x:v>
      </x:c>
      <x:c r="D13" s="50" t="str">
        <x:v>Sample, not total site count</x:v>
      </x:c>
      <x:c r="E13" s="50" t="str">
        <x:v>Use pagination/category scan for full item-level inventory</x:v>
      </x:c>
    </x:row>
    <x:row r="14">
      <x:c r="A14" s="50" t="str">
        <x:v>Unique paper/article/asset total</x:v>
      </x:c>
      <x:c r="B14" s="50" t="str">
        <x:v>Not calculated; overlapping indices and third-party destinations exist</x:v>
      </x:c>
      <x:c r="C14" s="50"/>
      <x:c r="D14" s="50" t="str">
        <x:v>Unknown by design at this stage</x:v>
      </x:c>
      <x:c r="E14" s="50" t="str">
        <x:v>Calculate after policy review and a bounded metadata-only crawl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4db997a58324c6a"/>
  </x:tableParts>
</x:worksheet>
</file>