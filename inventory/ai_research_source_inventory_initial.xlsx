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6392913a1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b63f81da05741dd"/>
    <x:sheet xmlns:r="http://schemas.openxmlformats.org/officeDocument/2006/relationships" name="Source Inventory" sheetId="2" r:id="Raabde822725d4754"/>
    <x:sheet xmlns:r="http://schemas.openxmlformats.org/officeDocument/2006/relationships" name="Field Schema" sheetId="3" r:id="R01d73de343104ff6"/>
    <x:sheet xmlns:r="http://schemas.openxmlformats.org/officeDocument/2006/relationships" name="Collection Rules" sheetId="4" r:id="Raa2eaf572833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5364A"/>
      <x:name val="Carlito"/>
    </x:font>
    <x:font>
      <x:b/>
      <x:sz val="11"/>
      <x:color rgb="FF142D4E"/>
      <x:name val="Carlito"/>
    </x:font>
    <x:font>
      <x:b/>
      <x:sz val="20"/>
      <x:color rgb="FF142D4E"/>
      <x:name val="Carlito"/>
    </x:font>
    <x:font>
      <x:b/>
      <x:sz val="11"/>
      <x:color rgb="FFFFFFFF"/>
      <x:name val="Carlito"/>
    </x:font>
    <x:font>
      <x:sz val="11"/>
      <x:color rgb="FF5D472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EAF0F7"/>
      </x:patternFill>
    </x:fill>
    <x:fill>
      <x:patternFill patternType="solid">
        <x:fgColor rgb="FFD8E3F0"/>
      </x:patternFill>
    </x:fill>
    <x:fill>
      <x:patternFill patternType="solid">
        <x:fgColor rgb="FFF6F8FB"/>
      </x:patternFill>
    </x:fill>
    <x:fill>
      <x:patternFill patternType="solid">
        <x:fgColor rgb="FFFFF7E6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1efe8a3a94cf6" /><Relationship Type="http://schemas.openxmlformats.org/officeDocument/2006/relationships/theme" Target="/xl/theme/theme1.xml" Id="Ra85e9273e468420d" /><Relationship Type="http://schemas.openxmlformats.org/officeDocument/2006/relationships/sharedStrings" Target="/xl/sharedStrings.xml" Id="Reb88edd3b86048ce" /><Relationship Type="http://schemas.openxmlformats.org/officeDocument/2006/relationships/worksheet" Target="/xl/worksheets/sheet1.xml" Id="R9b63f81da05741dd" /><Relationship Type="http://schemas.openxmlformats.org/officeDocument/2006/relationships/worksheet" Target="/xl/worksheets/sheet2.xml" Id="Raabde822725d4754" /><Relationship Type="http://schemas.openxmlformats.org/officeDocument/2006/relationships/worksheet" Target="/xl/worksheets/sheet3.xml" Id="R01d73de343104ff6" /><Relationship Type="http://schemas.openxmlformats.org/officeDocument/2006/relationships/worksheet" Target="/xl/worksheets/sheet4.xml" Id="Raa2eaf5728334f56" /></Relationships>
</file>

<file path=xl/tables/table1.xml><?xml version="1.0" encoding="utf-8"?>
<x:table xmlns:x="http://schemas.openxmlformats.org/spreadsheetml/2006/main" id="1" name="SourceInventoryTable" displayName="SourceInventoryTable" ref="A1:L22" headerRowCount="1" totalsRowCount="0" totalsRowShown="0">
  <x:tableColumns count="12">
    <x:tableColumn id="1" name="ID"/>
    <x:tableColumn id="2" name="Person / site"/>
    <x:tableColumn id="3" name="Content family"/>
    <x:tableColumn id="4" name="Inventory item"/>
    <x:tableColumn id="5" name="Priority"/>
    <x:tableColumn id="6" name="Primary source URL"/>
    <x:tableColumn id="7" name="Data to inventory / capture"/>
    <x:tableColumn id="8" name="Initial collection method"/>
    <x:tableColumn id="9" name="Cautions / decisions"/>
    <x:tableColumn id="10" name="Inventory status"/>
    <x:tableColumn id="11" name="Robots / reuse check"/>
    <x:tableColumn id="12" name="Last 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SchemaTable" displayName="FieldSchemaTable" ref="A1:E23" headerRowCount="1" totalsRowCount="0" totalsRowShown="0">
  <x:tableColumns count="5">
    <x:tableColumn id="1" name="Field"/>
    <x:tableColumn id="2" name="Required for first pass?"/>
    <x:tableColumn id="3" name="Applies to"/>
    <x:tableColumn id="4" name="Meaning / guidance"/>
    <x:tableColumn id="5" name="Example / constra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lectionRulesTable" displayName="CollectionRulesTable" ref="A3:D15" headerRowCount="1" totalsRowCount="0" totalsRowShown="0">
  <x:tableColumns count="4">
    <x:tableColumn id="1" name="Check / rule"/>
    <x:tableColumn id="2" name="Current state"/>
    <x:tableColumn id="3" name="Action before implementation"/>
    <x:tableColumn id="4" name="Why it mat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5dc25e5049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70ac2ea96e47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9bd038849f4511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6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AI Research Learning App — Source Inventory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Initial inventory of Geoffrey Hinton and Yoshua Bengio site sections, what to capture, and what must be verified before automated collection.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2" t="str">
        <x:v>Source inventory rows</x:v>
      </x:c>
      <x:c r="B4" s="22"/>
      <x:c r="C4" s="22" t="str">
        <x:v>High-priority rows (P1)</x:v>
      </x:c>
      <x:c r="D4" s="22"/>
      <x:c r="E4" s="22" t="str">
        <x:v>Landing pages mapped</x:v>
      </x:c>
      <x:c r="F4" s="22"/>
      <x:c r="G4" s="22" t="str">
        <x:v>Policy checks pending</x:v>
      </x:c>
      <x:c r="H4" s="22"/>
    </x:row>
    <x:row r="5">
      <x:c r="A5" s="31" t="n">
        <x:f>COUNTA('Source Inventory'!A2:A22)</x:f>
        <x:v>21</x:v>
      </x:c>
      <x:c r="B5" s="31"/>
      <x:c r="C5" s="31" t="n">
        <x:f>COUNTIF('Source Inventory'!E2:E22,"P1")</x:f>
        <x:v>12</x:v>
      </x:c>
      <x:c r="D5" s="31"/>
      <x:c r="E5" s="31" t="n">
        <x:f>COUNTIF('Source Inventory'!J2:J22,"Mapped")</x:f>
        <x:v>15</x:v>
      </x:c>
      <x:c r="F5" s="31"/>
      <x:c r="G5" s="31" t="n">
        <x:f>COUNTIF('Source Inventory'!K2:K22,"Pending")</x:f>
        <x:v>21</x:v>
      </x:c>
      <x:c r="H5" s="31"/>
    </x:row>
    <x:row r="6">
      <x:c r="A6" s="31"/>
      <x:c r="B6" s="31"/>
      <x:c r="C6" s="31"/>
      <x:c r="D6" s="31"/>
      <x:c r="E6" s="31"/>
      <x:c r="F6" s="31"/>
      <x:c r="G6" s="31"/>
      <x:c r="H6" s="31"/>
    </x:row>
    <x:row r="8">
      <x:c r="A8" s="36" t="str">
        <x:v>What this inventory covers</x:v>
      </x:c>
      <x:c r="B8" s="36"/>
      <x:c r="C8" s="36"/>
      <x:c r="D8" s="36"/>
      <x:c r="E8" s="36"/>
      <x:c r="F8" s="36"/>
      <x:c r="G8" s="36"/>
      <x:c r="H8" s="36"/>
    </x:row>
    <x:row r="9">
      <x:c r="A9" s="41" t="str">
        <x:v>The inventory maps known landing pages and content families. It is not yet an exhaustive enumeration of every article, paper, linked file, or pagination page. The robots.txt/sitemap and reuse-policy checks remain open because direct retrieval of those endpoints could not be verified in this pass.</x:v>
      </x:c>
      <x:c r="B9" s="41"/>
      <x:c r="C9" s="41"/>
      <x:c r="D9" s="41"/>
      <x:c r="E9" s="41"/>
      <x:c r="F9" s="41"/>
      <x:c r="G9" s="41"/>
      <x:c r="H9" s="41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2">
      <x:c r="A12" s="36" t="str">
        <x:v>Recommended next actions</x:v>
      </x:c>
      <x:c r="B12" s="36"/>
      <x:c r="C12" s="36"/>
      <x:c r="D12" s="36"/>
      <x:c r="E12" s="36"/>
      <x:c r="F12" s="36"/>
      <x:c r="G12" s="36"/>
      <x:c r="H12" s="36"/>
    </x:row>
    <x:row r="13" ht="34" customHeight="1">
      <x:c r="A13" s="46" t="str">
        <x:v>Step</x:v>
      </x:c>
      <x:c r="B13" s="46" t="str">
        <x:v>Action</x:v>
      </x:c>
      <x:c r="C13" s="46" t="str">
        <x:v>Gate</x:v>
      </x:c>
    </x:row>
    <x:row r="14" ht="34" customHeight="1">
      <x:c r="A14" s="52" t="str">
        <x:v>1</x:v>
      </x:c>
      <x:c r="B14" s="50" t="str">
        <x:v>Check robots.txt, terms, and reuse/licensing notices for both domains.</x:v>
      </x:c>
      <x:c r="C14" s="50" t="str">
        <x:v>Blocking gate</x:v>
      </x:c>
    </x:row>
    <x:row r="15" ht="34" customHeight="1">
      <x:c r="A15" s="52" t="str">
        <x:v>2</x:v>
      </x:c>
      <x:c r="B15" s="50" t="str">
        <x:v>Crawl only approved same-domain landing pages at a conservative rate; capture links and metadata first.</x:v>
      </x:c>
      <x:c r="C15" s="50" t="str">
        <x:v>Ingestion design</x:v>
      </x:c>
    </x:row>
    <x:row r="16" ht="34" customHeight="1">
      <x:c r="A16" s="52" t="str">
        <x:v>3</x:v>
      </x:c>
      <x:c r="B16" s="50" t="str">
        <x:v>Build canonical URL + hash deduplication so repeated links and changed pages can be identified.</x:v>
      </x:c>
      <x:c r="C16" s="50" t="str">
        <x:v>Data quality</x:v>
      </x:c>
    </x:row>
    <x:row r="17" ht="34" customHeight="1">
      <x:c r="A17" s="52" t="str">
        <x:v>4</x:v>
      </x:c>
      <x:c r="B17" s="50" t="str">
        <x:v>Keep external article, video, and PDF links as records until their separate access and reuse permissions are checked.</x:v>
      </x:c>
      <x:c r="C17" s="50" t="str">
        <x:v>Scope control</x:v>
      </x:c>
    </x:row>
    <x:row r="18">
      <x:c r="A18" t="str">
        <x:v>5</x:v>
      </x:c>
      <x:c r="B18" t="str">
        <x:v>After inventory is complete, choose a small pilot set: publication listings, Hinton course resources, and Bengio blog/research pages.</x:v>
      </x:c>
      <x:c r="C18" t="str">
        <x:v>Pilot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22" hidden="0" customWidth="1"/>
    <x:col min="4" max="4" width="36" hidden="0" customWidth="1"/>
    <x:col min="5" max="5" width="10" hidden="0" customWidth="1"/>
    <x:col min="6" max="6" width="48" hidden="0" customWidth="1"/>
    <x:col min="7" max="7" width="48" hidden="0" customWidth="1"/>
    <x:col min="8" max="8" width="42" hidden="0" customWidth="1"/>
    <x:col min="9" max="9" width="46" hidden="0" customWidth="1"/>
    <x:col min="10" max="10" width="17" hidden="0" customWidth="1"/>
    <x:col min="11" max="11" width="20" hidden="0" customWidth="1"/>
    <x:col min="12" max="12" width="14" hidden="0" customWidth="1"/>
  </x:cols>
  <x:sheetData>
    <x:row r="1" ht="34" customHeight="1">
      <x:c r="A1" s="56" t="str">
        <x:v>ID</x:v>
      </x:c>
      <x:c r="B1" s="56" t="str">
        <x:v>Person / site</x:v>
      </x:c>
      <x:c r="C1" s="56" t="str">
        <x:v>Content family</x:v>
      </x:c>
      <x:c r="D1" s="56" t="str">
        <x:v>Inventory item</x:v>
      </x:c>
      <x:c r="E1" s="56" t="str">
        <x:v>Priority</x:v>
      </x:c>
      <x:c r="F1" s="56" t="str">
        <x:v>Primary source URL</x:v>
      </x:c>
      <x:c r="G1" s="56" t="str">
        <x:v>Data to inventory / capture</x:v>
      </x:c>
      <x:c r="H1" s="56" t="str">
        <x:v>Initial collection method</x:v>
      </x:c>
      <x:c r="I1" s="56" t="str">
        <x:v>Cautions / decisions</x:v>
      </x:c>
      <x:c r="J1" s="56" t="str">
        <x:v>Inventory status</x:v>
      </x:c>
      <x:c r="K1" s="56" t="str">
        <x:v>Robots / reuse check</x:v>
      </x:c>
      <x:c r="L1" s="56" t="str">
        <x:v>Last checked</x:v>
      </x:c>
    </x:row>
    <x:row r="2" ht="66" customHeight="1">
      <x:c r="A2" s="50" t="str">
        <x:v>HI-01</x:v>
      </x:c>
      <x:c r="B2" s="50" t="str">
        <x:v>Geoffrey Hinton</x:v>
      </x:c>
      <x:c r="C2" s="50" t="str">
        <x:v>Site map</x:v>
      </x:c>
      <x:c r="D2" s="50" t="str">
        <x:v>Homepage and navigation</x:v>
      </x:c>
      <x:c r="E2" s="50" t="str">
        <x:v>P1</x:v>
      </x:c>
      <x:c r="F2" s="50" t="str">
        <x:v>https://www.cs.toronto.edu/~hinton/index.html</x:v>
      </x:c>
      <x:c r="G2" s="50" t="str">
        <x:v>Section names; linked pages; page title; site-level canonical URL; visible update/copyright notice</x:v>
      </x:c>
      <x:c r="H2" s="50" t="str">
        <x:v>Parse homepage links; preserve link labels and destinations</x:v>
      </x:c>
      <x:c r="I2" s="50" t="str">
        <x:v>Use as discovery index, not as proof all linked content is reusable</x:v>
      </x:c>
      <x:c r="J2" s="50" t="str">
        <x:v>Mapped</x:v>
      </x:c>
      <x:c r="K2" s="50" t="str">
        <x:v>Pending</x:v>
      </x:c>
      <x:c r="L2" s="50" t="str">
        <x:v>2026-10-20</x:v>
      </x:c>
    </x:row>
    <x:row r="3" ht="66" customHeight="1">
      <x:c r="A3" s="50" t="str">
        <x:v>HI-02</x:v>
      </x:c>
      <x:c r="B3" s="50" t="str">
        <x:v>Geoffrey Hinton</x:v>
      </x:c>
      <x:c r="C3" s="50" t="str">
        <x:v>Research papers</x:v>
      </x:c>
      <x:c r="D3" s="50" t="str">
        <x:v>Master scientific publications list</x:v>
      </x:c>
      <x:c r="E3" s="50" t="str">
        <x:v>P1</x:v>
      </x:c>
      <x:c r="F3" s="50" t="str">
        <x:v>https://www.cs.toronto.edu/~hinton/pages/publications.html</x:v>
      </x:c>
      <x:c r="G3" s="50" t="str">
        <x:v>Title; authors; year; venue; paper URL; abstract/PDF links if present; topic tags</x:v>
      </x:c>
      <x:c r="H3" s="50" t="str">
        <x:v>Extract publication entries and outbound links; normalize author/year/title</x:v>
      </x:c>
      <x:c r="I3" s="50" t="str">
        <x:v>Topic labels are described as a work in progress; keep source-provided tags distinct from app-inferred tags</x:v>
      </x:c>
      <x:c r="J3" s="50" t="str">
        <x:v>Mapped</x:v>
      </x:c>
      <x:c r="K3" s="50" t="str">
        <x:v>Pending</x:v>
      </x:c>
      <x:c r="L3" s="50" t="str">
        <x:v>2026-10-20</x:v>
      </x:c>
    </x:row>
    <x:row r="4" ht="66" customHeight="1">
      <x:c r="A4" s="50" t="str">
        <x:v>HI-03</x:v>
      </x:c>
      <x:c r="B4" s="50" t="str">
        <x:v>Geoffrey Hinton</x:v>
      </x:c>
      <x:c r="C4" s="50" t="str">
        <x:v>Research topics</x:v>
      </x:c>
      <x:c r="D4" s="50" t="str">
        <x:v>Publications by topic</x:v>
      </x:c>
      <x:c r="E4" s="50" t="str">
        <x:v>P1</x:v>
      </x:c>
      <x:c r="F4" s="50" t="str">
        <x:v>https://www.cs.toronto.edu/~hinton/bytopics.html</x:v>
      </x:c>
      <x:c r="G4" s="50" t="str">
        <x:v>Topic label; associated publication titles; links back to canonical publication records</x:v>
      </x:c>
      <x:c r="H4" s="50" t="str">
        <x:v>Parse topic groups; link records to HI-02 by URL/title</x:v>
      </x:c>
      <x:c r="I4" s="50" t="str">
        <x:v>Do not treat topic classification as complete or authoritative</x:v>
      </x:c>
      <x:c r="J4" s="50" t="str">
        <x:v>Mapped</x:v>
      </x:c>
      <x:c r="K4" s="50" t="str">
        <x:v>Pending</x:v>
      </x:c>
      <x:c r="L4" s="50" t="str">
        <x:v>2026-10-20</x:v>
      </x:c>
    </x:row>
    <x:row r="5" ht="66" customHeight="1">
      <x:c r="A5" s="50" t="str">
        <x:v>HI-04</x:v>
      </x:c>
      <x:c r="B5" s="50" t="str">
        <x:v>Geoffrey Hinton</x:v>
      </x:c>
      <x:c r="C5" s="50" t="str">
        <x:v>Teaching</x:v>
      </x:c>
      <x:c r="D5" s="50" t="str">
        <x:v>Coursera Neural Networks for Machine Learning lecture index</x:v>
      </x:c>
      <x:c r="E5" s="50" t="str">
        <x:v>P1</x:v>
      </x:c>
      <x:c r="F5" s="50" t="str">
        <x:v>https://www.cs.toronto.edu/~hinton/coursera_lectures.html</x:v>
      </x:c>
      <x:c r="G5" s="50" t="str">
        <x:v>Lecture title; sequence; lecture URL; slide URL; format; duration if given; linked resources</x:v>
      </x:c>
      <x:c r="H5" s="50" t="str">
        <x:v>Parse lecture list and resource links; store metadata and link targets</x:v>
      </x:c>
      <x:c r="I5" s="50" t="str">
        <x:v>Index linked videos/slides first; separately verify reuse before copying files or transcripts</x:v>
      </x:c>
      <x:c r="J5" s="50" t="str">
        <x:v>Mapped</x:v>
      </x:c>
      <x:c r="K5" s="50" t="str">
        <x:v>Pending</x:v>
      </x:c>
      <x:c r="L5" s="50" t="str">
        <x:v>2026-10-20</x:v>
      </x:c>
    </x:row>
    <x:row r="6" ht="66" customHeight="1">
      <x:c r="A6" s="50" t="str">
        <x:v>HI-05</x:v>
      </x:c>
      <x:c r="B6" s="50" t="str">
        <x:v>Geoffrey Hinton</x:v>
      </x:c>
      <x:c r="C6" s="50" t="str">
        <x:v>Teaching</x:v>
      </x:c>
      <x:c r="D6" s="50" t="str">
        <x:v>University course pages</x:v>
      </x:c>
      <x:c r="E6" s="50" t="str">
        <x:v>P2</x:v>
      </x:c>
      <x:c r="F6" s="50" t="str">
        <x:v>https://www.cs.toronto.edu/~hinton/index.html</x:v>
      </x:c>
      <x:c r="G6" s="50" t="str">
        <x:v>Course name; course code; level; term/year; lecture notes; assignment/reading links when public</x:v>
      </x:c>
      <x:c r="H6" s="50" t="str">
        <x:v>Discover the linked undergraduate and graduate course pages from homepage</x:v>
      </x:c>
      <x:c r="I6" s="50" t="str">
        <x:v>Older course content may have obsolete links or distinct third-party rights</x:v>
      </x:c>
      <x:c r="J6" s="50" t="str">
        <x:v>Partial</x:v>
      </x:c>
      <x:c r="K6" s="50" t="str">
        <x:v>Pending</x:v>
      </x:c>
      <x:c r="L6" s="50" t="str">
        <x:v>2026-10-20</x:v>
      </x:c>
    </x:row>
    <x:row r="7" ht="66" customHeight="1">
      <x:c r="A7" s="50" t="str">
        <x:v>HI-06</x:v>
      </x:c>
      <x:c r="B7" s="50" t="str">
        <x:v>Geoffrey Hinton</x:v>
      </x:c>
      <x:c r="C7" s="50" t="str">
        <x:v>Teaching / tutorials</x:v>
      </x:c>
      <x:c r="D7" s="50" t="str">
        <x:v>Tutorials, slides, readings, and workshop materials</x:v>
      </x:c>
      <x:c r="E7" s="50" t="str">
        <x:v>P1</x:v>
      </x:c>
      <x:c r="F7" s="50" t="str">
        <x:v>https://www.cs.toronto.edu/~hinton/talks.html</x:v>
      </x:c>
      <x:c r="G7" s="50" t="str">
        <x:v>Tutorial title; year; subject; video/slide/PDF/readings URLs; format; associated paper</x:v>
      </x:c>
      <x:c r="H7" s="50" t="str">
        <x:v>Parse sections and all linked assets; record files without automatically redistributing them</x:v>
      </x:c>
      <x:c r="I7" s="50" t="str">
        <x:v>May include PowerPoint, PDF, PostScript, and video formats; review each asset's reuse terms</x:v>
      </x:c>
      <x:c r="J7" s="50" t="str">
        <x:v>Mapped</x:v>
      </x:c>
      <x:c r="K7" s="50" t="str">
        <x:v>Pending</x:v>
      </x:c>
      <x:c r="L7" s="50" t="str">
        <x:v>2026-10-20</x:v>
      </x:c>
    </x:row>
    <x:row r="8" ht="66" customHeight="1">
      <x:c r="A8" s="50" t="str">
        <x:v>HI-07</x:v>
      </x:c>
      <x:c r="B8" s="50" t="str">
        <x:v>Geoffrey Hinton</x:v>
      </x:c>
      <x:c r="C8" s="50" t="str">
        <x:v>Talks</x:v>
      </x:c>
      <x:c r="D8" s="50" t="str">
        <x:v>Public talks and talk slides archive</x:v>
      </x:c>
      <x:c r="E8" s="50" t="str">
        <x:v>P1</x:v>
      </x:c>
      <x:c r="F8" s="50" t="str">
        <x:v>https://www.cs.toronto.edu/~hinton/talks.html</x:v>
      </x:c>
      <x:c r="G8" s="50" t="str">
        <x:v>Talk title; date/year; venue if shown; description; slide links; video links; related paper</x:v>
      </x:c>
      <x:c r="H8" s="50" t="str">
        <x:v>Extract talk entries and slide variants; deduplicate repeated talks</x:v>
      </x:c>
      <x:c r="I8" s="50" t="str">
        <x:v>A linked talk may be hosted externally; initial scope is metadata and source links</x:v>
      </x:c>
      <x:c r="J8" s="50" t="str">
        <x:v>Mapped</x:v>
      </x:c>
      <x:c r="K8" s="50" t="str">
        <x:v>Pending</x:v>
      </x:c>
      <x:c r="L8" s="50" t="str">
        <x:v>2026-10-20</x:v>
      </x:c>
    </x:row>
    <x:row r="9" ht="66" customHeight="1">
      <x:c r="A9" s="50" t="str">
        <x:v>HI-08</x:v>
      </x:c>
      <x:c r="B9" s="50" t="str">
        <x:v>Geoffrey Hinton</x:v>
      </x:c>
      <x:c r="C9" s="50" t="str">
        <x:v>Media / interviews</x:v>
      </x:c>
      <x:c r="D9" s="50" t="str">
        <x:v>Video appearances</x:v>
      </x:c>
      <x:c r="E9" s="50" t="str">
        <x:v>P2</x:v>
      </x:c>
      <x:c r="F9" s="50" t="str">
        <x:v>https://www.cs.toronto.edu/~hinton/pages/media/video.html</x:v>
      </x:c>
      <x:c r="G9" s="50" t="str">
        <x:v>Interview/video title; date; publisher; URL; description; timestamped transcript availability</x:v>
      </x:c>
      <x:c r="H9" s="50" t="str">
        <x:v>Index video records; use provider APIs/captions only where permitted</x:v>
      </x:c>
      <x:c r="I9" s="50" t="str">
        <x:v>Do not download/re-host video; external platform rules apply</x:v>
      </x:c>
      <x:c r="J9" s="50" t="str">
        <x:v>Mapped</x:v>
      </x:c>
      <x:c r="K9" s="50" t="str">
        <x:v>Pending</x:v>
      </x:c>
      <x:c r="L9" s="50" t="str">
        <x:v>2026-10-20</x:v>
      </x:c>
    </x:row>
    <x:row r="10" ht="66" customHeight="1">
      <x:c r="A10" s="50" t="str">
        <x:v>HI-09</x:v>
      </x:c>
      <x:c r="B10" s="50" t="str">
        <x:v>Geoffrey Hinton</x:v>
      </x:c>
      <x:c r="C10" s="50" t="str">
        <x:v>Media / interviews</x:v>
      </x:c>
      <x:c r="D10" s="50" t="str">
        <x:v>Print appearances</x:v>
      </x:c>
      <x:c r="E10" s="50" t="str">
        <x:v>P2</x:v>
      </x:c>
      <x:c r="F10" s="50" t="str">
        <x:v>https://www.cs.toronto.edu/~hinton/pages/media/print.html</x:v>
      </x:c>
      <x:c r="G10" s="50" t="str">
        <x:v>Article/headline; outlet; date; author if known; URL; subject</x:v>
      </x:c>
      <x:c r="H10" s="50" t="str">
        <x:v>Index links and visible metadata</x:v>
      </x:c>
      <x:c r="I10" s="50" t="str">
        <x:v>Full article text may be copyrighted or paywalled; retain links and brief metadata by default</x:v>
      </x:c>
      <x:c r="J10" s="50" t="str">
        <x:v>Mapped</x:v>
      </x:c>
      <x:c r="K10" s="50" t="str">
        <x:v>Pending</x:v>
      </x:c>
      <x:c r="L10" s="50" t="str">
        <x:v>2026-10-20</x:v>
      </x:c>
    </x:row>
    <x:row r="11" ht="66" customHeight="1">
      <x:c r="A11" s="50" t="str">
        <x:v>HI-10</x:v>
      </x:c>
      <x:c r="B11" s="50" t="str">
        <x:v>Geoffrey Hinton</x:v>
      </x:c>
      <x:c r="C11" s="50" t="str">
        <x:v>Media / interviews</x:v>
      </x:c>
      <x:c r="D11" s="50" t="str">
        <x:v>Podcasts</x:v>
      </x:c>
      <x:c r="E11" s="50" t="str">
        <x:v>P2</x:v>
      </x:c>
      <x:c r="F11" s="50" t="str">
        <x:v>https://www.cs.toronto.edu/~hinton/pages/media/podcasts.html</x:v>
      </x:c>
      <x:c r="G11" s="50" t="str">
        <x:v>Episode title; show; date; URL; episode summary; transcript/caption availability</x:v>
      </x:c>
      <x:c r="H11" s="50" t="str">
        <x:v>Index episodes and source links</x:v>
      </x:c>
      <x:c r="I11" s="50" t="str">
        <x:v>Transcript collection depends on availability, platform terms, and rights</x:v>
      </x:c>
      <x:c r="J11" s="50" t="str">
        <x:v>Mapped</x:v>
      </x:c>
      <x:c r="K11" s="50" t="str">
        <x:v>Pending</x:v>
      </x:c>
      <x:c r="L11" s="50" t="str">
        <x:v>2026-10-20</x:v>
      </x:c>
    </x:row>
    <x:row r="12" ht="66" customHeight="1">
      <x:c r="A12" s="50" t="str">
        <x:v>HI-11</x:v>
      </x:c>
      <x:c r="B12" s="50" t="str">
        <x:v>Geoffrey Hinton</x:v>
      </x:c>
      <x:c r="C12" s="50" t="str">
        <x:v>Biography</x:v>
      </x:c>
      <x:c r="D12" s="50" t="str">
        <x:v>Biography, CV, awards, and profile details</x:v>
      </x:c>
      <x:c r="E12" s="50" t="str">
        <x:v>P2</x:v>
      </x:c>
      <x:c r="F12" s="50" t="str">
        <x:v>https://www.cs.toronto.edu/~hinton/index.html</x:v>
      </x:c>
      <x:c r="G12" s="50" t="str">
        <x:v>Bio text; roles/affiliations; milestone dates; awards; CV URL; source timestamp</x:v>
      </x:c>
      <x:c r="H12" s="50" t="str">
        <x:v>Extract public biographical metadata; store source URL for every claim</x:v>
      </x:c>
      <x:c r="I12" s="50" t="str">
        <x:v>Keep dates and claims source-backed; do not copy profile photos by default</x:v>
      </x:c>
      <x:c r="J12" s="50" t="str">
        <x:v>Partial</x:v>
      </x:c>
      <x:c r="K12" s="50" t="str">
        <x:v>Pending</x:v>
      </x:c>
      <x:c r="L12" s="50" t="str">
        <x:v>2026-10-20</x:v>
      </x:c>
    </x:row>
    <x:row r="13" ht="66" customHeight="1">
      <x:c r="A13" s="50" t="str">
        <x:v>HI-12</x:v>
      </x:c>
      <x:c r="B13" s="50" t="str">
        <x:v>Geoffrey Hinton</x:v>
      </x:c>
      <x:c r="C13" s="50" t="str">
        <x:v>Code / demonstrations</x:v>
      </x:c>
      <x:c r="D13" s="50" t="str">
        <x:v>Software, code, movies, and miscellaneous resources</x:v>
      </x:c>
      <x:c r="E13" s="50" t="str">
        <x:v>P3</x:v>
      </x:c>
      <x:c r="F13" s="50" t="str">
        <x:v>https://www.cs.toronto.edu/~hinton/talks.html</x:v>
      </x:c>
      <x:c r="G13" s="50" t="str">
        <x:v>Resource title; purpose; programming language; repository/download URL; associated paper or lecture</x:v>
      </x:c>
      <x:c r="H13" s="50" t="str">
        <x:v>Record title/description/link only; assess individually before downloading</x:v>
      </x:c>
      <x:c r="I13" s="50" t="str">
        <x:v>Legacy code and binaries may have unclear licenses or obsolete dependencies</x:v>
      </x:c>
      <x:c r="J13" s="50" t="str">
        <x:v>Partial</x:v>
      </x:c>
      <x:c r="K13" s="50" t="str">
        <x:v>Pending</x:v>
      </x:c>
      <x:c r="L13" s="50" t="str">
        <x:v>2026-10-20</x:v>
      </x:c>
    </x:row>
    <x:row r="14" ht="66" customHeight="1">
      <x:c r="A14" s="50" t="str">
        <x:v>HI-13</x:v>
      </x:c>
      <x:c r="B14" s="50" t="str">
        <x:v>Geoffrey Hinton</x:v>
      </x:c>
      <x:c r="C14" s="50" t="str">
        <x:v>Research network</x:v>
      </x:c>
      <x:c r="D14" s="50" t="str">
        <x:v>Former students, postdocs, and supervision records</x:v>
      </x:c>
      <x:c r="E14" s="50" t="str">
        <x:v>P3</x:v>
      </x:c>
      <x:c r="F14" s="50" t="str">
        <x:v>https://www.cs.toronto.edu/~hinton/pages/students/postdocs.html</x:v>
      </x:c>
      <x:c r="G14" s="50" t="str">
        <x:v>Name; relationship/category; dates if public; related papers or profiles</x:v>
      </x:c>
      <x:c r="H14" s="50" t="str">
        <x:v>Optional metadata inventory only</x:v>
      </x:c>
      <x:c r="I14" s="50" t="str">
        <x:v>Defer unless people/research-network features become a product requirement</x:v>
      </x:c>
      <x:c r="J14" s="50" t="str">
        <x:v>Mapped</x:v>
      </x:c>
      <x:c r="K14" s="50" t="str">
        <x:v>Pending</x:v>
      </x:c>
      <x:c r="L14" s="50" t="str">
        <x:v>2026-10-20</x:v>
      </x:c>
    </x:row>
    <x:row r="15" ht="66" customHeight="1">
      <x:c r="A15" s="50" t="str">
        <x:v>YB-01</x:v>
      </x:c>
      <x:c r="B15" s="50" t="str">
        <x:v>Yoshua Bengio</x:v>
      </x:c>
      <x:c r="C15" s="50" t="str">
        <x:v>Site map / news</x:v>
      </x:c>
      <x:c r="D15" s="50" t="str">
        <x:v>Homepage and featured news</x:v>
      </x:c>
      <x:c r="E15" s="50" t="str">
        <x:v>P1</x:v>
      </x:c>
      <x:c r="F15" s="50" t="str">
        <x:v>https://yoshuabengio.org/en</x:v>
      </x:c>
      <x:c r="G15" s="50" t="str">
        <x:v>Section name; featured item title; date; teaser; first-party URL; external destination URL</x:v>
      </x:c>
      <x:c r="H15" s="50" t="str">
        <x:v>Parse homepage cards and navigation; preserve both site page and outbound link</x:v>
      </x:c>
      <x:c r="I15" s="50" t="str">
        <x:v>Featured items can point to third-party publishers; do not assume their content is available for collection</x:v>
      </x:c>
      <x:c r="J15" s="50" t="str">
        <x:v>Mapped</x:v>
      </x:c>
      <x:c r="K15" s="50" t="str">
        <x:v>Pending</x:v>
      </x:c>
      <x:c r="L15" s="50" t="str">
        <x:v>2026-10-20</x:v>
      </x:c>
    </x:row>
    <x:row r="16" ht="66" customHeight="1">
      <x:c r="A16" s="50" t="str">
        <x:v>YB-02</x:v>
      </x:c>
      <x:c r="B16" s="50" t="str">
        <x:v>Yoshua Bengio</x:v>
      </x:c>
      <x:c r="C16" s="50" t="str">
        <x:v>Research overview</x:v>
      </x:c>
      <x:c r="D16" s="50" t="str">
        <x:v>Research areas and key publications</x:v>
      </x:c>
      <x:c r="E16" s="50" t="str">
        <x:v>P1</x:v>
      </x:c>
      <x:c r="F16" s="50" t="str">
        <x:v>https://yoshuabengio.org/en/research</x:v>
      </x:c>
      <x:c r="G16" s="50" t="str">
        <x:v>Research area headings; descriptive text; key-paper title/authors/date; abstract/summary; paper URL</x:v>
      </x:c>
      <x:c r="H16" s="50" t="str">
        <x:v>Parse visible content and key publication cards</x:v>
      </x:c>
      <x:c r="I16" s="50" t="str">
        <x:v>Separate Bengio's own statements from the app's explanatory summaries</x:v>
      </x:c>
      <x:c r="J16" s="50" t="str">
        <x:v>Mapped</x:v>
      </x:c>
      <x:c r="K16" s="50" t="str">
        <x:v>Pending</x:v>
      </x:c>
      <x:c r="L16" s="50" t="str">
        <x:v>2026-10-20</x:v>
      </x:c>
    </x:row>
    <x:row r="17" ht="66" customHeight="1">
      <x:c r="A17" s="50" t="str">
        <x:v>YB-03</x:v>
      </x:c>
      <x:c r="B17" s="50" t="str">
        <x:v>Yoshua Bengio</x:v>
      </x:c>
      <x:c r="C17" s="50" t="str">
        <x:v>Research papers</x:v>
      </x:c>
      <x:c r="D17" s="50" t="str">
        <x:v>Publication listings and publication detail pages</x:v>
      </x:c>
      <x:c r="E17" s="50" t="str">
        <x:v>P1</x:v>
      </x:c>
      <x:c r="F17" s="50" t="str">
        <x:v>https://yoshuabengio.org/en/research</x:v>
      </x:c>
      <x:c r="G17" s="50" t="str">
        <x:v>Title; authors; published date; summary/abstract; first-party detail URL; DOI/arXiv/report ID; PDF/link metadata</x:v>
      </x:c>
      <x:c r="H17" s="50" t="str">
        <x:v>Enumerate detail-page URLs from research/list pages; parse each first-party publication record</x:v>
      </x:c>
      <x:c r="I17" s="50" t="str">
        <x:v>The page also links to external publication indexes; verify each destination and each file's rights separately</x:v>
      </x:c>
      <x:c r="J17" s="50" t="str">
        <x:v>Partial</x:v>
      </x:c>
      <x:c r="K17" s="50" t="str">
        <x:v>Pending</x:v>
      </x:c>
      <x:c r="L17" s="50" t="str">
        <x:v>2026-10-20</x:v>
      </x:c>
    </x:row>
    <x:row r="18" ht="66" customHeight="1">
      <x:c r="A18" s="50" t="str">
        <x:v>YB-04</x:v>
      </x:c>
      <x:c r="B18" s="50" t="str">
        <x:v>Yoshua Bengio</x:v>
      </x:c>
      <x:c r="C18" s="50" t="str">
        <x:v>Articles / blog</x:v>
      </x:c>
      <x:c r="D18" s="50" t="str">
        <x:v>Blog index, categories, and pagination</x:v>
      </x:c>
      <x:c r="E18" s="50" t="str">
        <x:v>P1</x:v>
      </x:c>
      <x:c r="F18" s="50" t="str">
        <x:v>https://yoshuabengio.org/en/blog</x:v>
      </x:c>
      <x:c r="G18" s="50" t="str">
        <x:v>Article URL; title; author; publication date; category; teaser; pagination cursor/page</x:v>
      </x:c>
      <x:c r="H18" s="50" t="str">
        <x:v>Enumerate index pages and category filters; deduplicate canonical article URLs</x:v>
      </x:c>
      <x:c r="I18" s="50" t="str">
        <x:v>Categories observed include AI for Social Good, AI safety, COVID-19, Climate change, Publication, Research</x:v>
      </x:c>
      <x:c r="J18" s="50" t="str">
        <x:v>Mapped</x:v>
      </x:c>
      <x:c r="K18" s="50" t="str">
        <x:v>Pending</x:v>
      </x:c>
      <x:c r="L18" s="50" t="str">
        <x:v>2026-10-20</x:v>
      </x:c>
    </x:row>
    <x:row r="19" ht="66" customHeight="1">
      <x:c r="A19" s="50" t="str">
        <x:v>YB-05</x:v>
      </x:c>
      <x:c r="B19" s="50" t="str">
        <x:v>Yoshua Bengio</x:v>
      </x:c>
      <x:c r="C19" s="50" t="str">
        <x:v>Articles / blog</x:v>
      </x:c>
      <x:c r="D19" s="50" t="str">
        <x:v>Individual blog posts and essays</x:v>
      </x:c>
      <x:c r="E19" s="50" t="str">
        <x:v>P1</x:v>
      </x:c>
      <x:c r="F19" s="50" t="str">
        <x:v>https://yoshuabengio.org/en/blog?page=1</x:v>
      </x:c>
      <x:c r="G19" s="50" t="str">
        <x:v>Title; author; published date; category; body text where permitted; cited URLs; key claims; related concepts</x:v>
      </x:c>
      <x:c r="H19" s="50" t="str">
        <x:v>Parse individual first-party article pages; preserve post date and outbound references</x:v>
      </x:c>
      <x:c r="I19" s="50" t="str">
        <x:v>Blog includes commentary/op-eds that may link to third-party publications; distinguish post text from linked article text</x:v>
      </x:c>
      <x:c r="J19" s="50" t="str">
        <x:v>Partial</x:v>
      </x:c>
      <x:c r="K19" s="50" t="str">
        <x:v>Pending</x:v>
      </x:c>
      <x:c r="L19" s="50" t="str">
        <x:v>2026-10-20</x:v>
      </x:c>
    </x:row>
    <x:row r="20" ht="66" customHeight="1">
      <x:c r="A20" s="50" t="str">
        <x:v>YB-06</x:v>
      </x:c>
      <x:c r="B20" s="50" t="str">
        <x:v>Yoshua Bengio</x:v>
      </x:c>
      <x:c r="C20" s="50" t="str">
        <x:v>Reports / publication pages</x:v>
      </x:c>
      <x:c r="D20" s="50" t="str">
        <x:v>Reports and long-form research publications</x:v>
      </x:c>
      <x:c r="E20" s="50" t="str">
        <x:v>P1</x:v>
      </x:c>
      <x:c r="F20" s="50" t="str">
        <x:v>https://yoshuabengio.org/en/publication/international-ai-safety-report-2026</x:v>
      </x:c>
      <x:c r="G20" s="50" t="str">
        <x:v>Report title; authors/contributors; publication date; report summary; official report URL; identifiers; document formats</x:v>
      </x:c>
      <x:c r="H20" s="50" t="str">
        <x:v>Index the page, report metadata, and official document link; fetch full text only if permitted</x:v>
      </x:c>
      <x:c r="I20" s="50" t="str">
        <x:v>Reports may be hosted by a separate organization; record authoritative report landing page and rights metadata</x:v>
      </x:c>
      <x:c r="J20" s="50" t="str">
        <x:v>Mapped</x:v>
      </x:c>
      <x:c r="K20" s="50" t="str">
        <x:v>Pending</x:v>
      </x:c>
      <x:c r="L20" s="50" t="str">
        <x:v>2026-10-20</x:v>
      </x:c>
    </x:row>
    <x:row r="21" ht="66" customHeight="1">
      <x:c r="A21" s="50" t="str">
        <x:v>YB-07</x:v>
      </x:c>
      <x:c r="B21" s="50" t="str">
        <x:v>Yoshua Bengio</x:v>
      </x:c>
      <x:c r="C21" s="50" t="str">
        <x:v>Talks / public appearances</x:v>
      </x:c>
      <x:c r="D21" s="50" t="str">
        <x:v>Talks, speeches, interviews, and TED/media links surfaced on the site</x:v>
      </x:c>
      <x:c r="E21" s="50" t="str">
        <x:v>P2</x:v>
      </x:c>
      <x:c r="F21" s="50" t="str">
        <x:v>https://yoshuabengio.org/en</x:v>
      </x:c>
      <x:c r="G21" s="50" t="str">
        <x:v>Event/talk title; date; context; format; original first-party page; video/transcript links</x:v>
      </x:c>
      <x:c r="H21" s="50" t="str">
        <x:v>Use homepage and blog posts as discovery indexes; record external destinations</x:v>
      </x:c>
      <x:c r="I21" s="50" t="str">
        <x:v>External video/news content is out of initial crawl scope unless separately approved</x:v>
      </x:c>
      <x:c r="J21" s="50" t="str">
        <x:v>Partial</x:v>
      </x:c>
      <x:c r="K21" s="50" t="str">
        <x:v>Pending</x:v>
      </x:c>
      <x:c r="L21" s="50" t="str">
        <x:v>2026-10-20</x:v>
      </x:c>
    </x:row>
    <x:row r="22" ht="66" customHeight="1">
      <x:c r="A22" s="50" t="str">
        <x:v>YB-08</x:v>
      </x:c>
      <x:c r="B22" s="50" t="str">
        <x:v>Yoshua Bengio</x:v>
      </x:c>
      <x:c r="C22" s="50" t="str">
        <x:v>Biography / affiliations</x:v>
      </x:c>
      <x:c r="D22" s="50" t="str">
        <x:v>Biography, positions, awards, and organizations</x:v>
      </x:c>
      <x:c r="E22" s="50" t="str">
        <x:v>P2</x:v>
      </x:c>
      <x:c r="F22" s="50" t="str">
        <x:v>https://yoshuabengio.org/en</x:v>
      </x:c>
      <x:c r="G22" s="50" t="str">
        <x:v>Biography text; roles; institutions; dated milestones; awards; source URL; last checked</x:v>
      </x:c>
      <x:c r="H22" s="50" t="str">
        <x:v>Extract public factual metadata from first-party profile and linked bio where needed</x:v>
      </x:c>
      <x:c r="I22" s="50" t="str">
        <x:v>Prefer dated statements and official source links; affiliations can change over time</x:v>
      </x:c>
      <x:c r="J22" s="50" t="str">
        <x:v>Mapped</x:v>
      </x:c>
      <x:c r="K22" s="50" t="str">
        <x:v>Pending</x:v>
      </x:c>
      <x:c r="L22" s="50" t="str">
        <x:v>2026-10-20</x:v>
      </x:c>
    </x:row>
    <x:row r="23" ht="66" customHeight="1">
      <x:c r="A23" s="50" t="str">
        <x:v>YB-09</x:v>
      </x:c>
      <x:c r="B23" s="50" t="str">
        <x:v>Yoshua Bengio</x:v>
      </x:c>
      <x:c r="C23" s="50" t="str">
        <x:v>Outbound reference links</x:v>
      </x:c>
      <x:c r="D23" s="50" t="str">
        <x:v>External op-eds, reports, organizations, and cited sources</x:v>
      </x:c>
      <x:c r="E23" s="50" t="str">
        <x:v>P2</x:v>
      </x:c>
      <x:c r="F23" s="50" t="str">
        <x:v>https://yoshuabengio.org/en/blog</x:v>
      </x:c>
      <x:c r="G23" s="50" t="str">
        <x:v>Anchor title; destination URL; external domain; relation to post; publication date if shown</x:v>
      </x:c>
      <x:c r="H23" s="50" t="str">
        <x:v>Collect outgoing URLs and source relationships only in the first pass</x:v>
      </x:c>
      <x:c r="I23" s="50" t="str">
        <x:v>Treat each external domain as a separate future connector and policy review; do not recursively crawl</x:v>
      </x:c>
      <x:c r="J23" s="50" t="str">
        <x:v>Partial</x:v>
      </x:c>
      <x:c r="K23" s="50" t="str">
        <x:v>Pending</x:v>
      </x:c>
      <x:c r="L23" s="50" t="str">
        <x:v>2026-10-20</x:v>
      </x:c>
    </x:row>
  </x:sheetData>
  <x:dataValidations count="3">
    <x:dataValidation type="list" sqref="E2:E22">
      <x:formula1>"P1,P2,P3"</x:formula1>
    </x:dataValidation>
    <x:dataValidation type="list" sqref="J2:J22">
      <x:formula1>"Mapped,Partial,Unverified,Ready for crawl"</x:formula1>
    </x:dataValidation>
    <x:dataValidation type="list" sqref="K2:K22">
      <x:formula1>"Pending,Checked - allowed,Checked - restricted,Needs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5dc25e5049445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6" hidden="0" customWidth="1"/>
    <x:col min="4" max="4" width="58" hidden="0" customWidth="1"/>
    <x:col min="5" max="5" width="48" hidden="0" customWidth="1"/>
  </x:cols>
  <x:sheetData>
    <x:row r="1" ht="32" customHeight="1">
      <x:c r="A1" s="60" t="str">
        <x:v>Field</x:v>
      </x:c>
      <x:c r="B1" s="60" t="str">
        <x:v>Required for first pass?</x:v>
      </x:c>
      <x:c r="C1" s="60" t="str">
        <x:v>Applies to</x:v>
      </x:c>
      <x:c r="D1" s="60" t="str">
        <x:v>Meaning / guidance</x:v>
      </x:c>
      <x:c r="E1" s="60" t="str">
        <x:v>Example / constraint</x:v>
      </x:c>
    </x:row>
    <x:row r="2" ht="42" customHeight="1">
      <x:c r="A2" s="50" t="str">
        <x:v>record_id</x:v>
      </x:c>
      <x:c r="B2" s="50" t="str">
        <x:v>Yes</x:v>
      </x:c>
      <x:c r="C2" s="50" t="str">
        <x:v>All</x:v>
      </x:c>
      <x:c r="D2" s="50" t="str">
        <x:v>Stable internal ID for this inventoried document or resource.</x:v>
      </x:c>
      <x:c r="E2" s="50" t="str">
        <x:v>UUID or deterministic ID; do not use the title alone</x:v>
      </x:c>
    </x:row>
    <x:row r="3" ht="42" customHeight="1">
      <x:c r="A3" s="50" t="str">
        <x:v>source_person</x:v>
      </x:c>
      <x:c r="B3" s="50" t="str">
        <x:v>Yes</x:v>
      </x:c>
      <x:c r="C3" s="50" t="str">
        <x:v>All</x:v>
      </x:c>
      <x:c r="D3" s="50" t="str">
        <x:v>Researcher/person whose site surfaced the item.</x:v>
      </x:c>
      <x:c r="E3" s="50" t="str">
        <x:v>Geoffrey Hinton; Yoshua Bengio</x:v>
      </x:c>
    </x:row>
    <x:row r="4" ht="42" customHeight="1">
      <x:c r="A4" s="50" t="str">
        <x:v>source_domain</x:v>
      </x:c>
      <x:c r="B4" s="50" t="str">
        <x:v>Yes</x:v>
      </x:c>
      <x:c r="C4" s="50" t="str">
        <x:v>All</x:v>
      </x:c>
      <x:c r="D4" s="50" t="str">
        <x:v>Domain where the record was discovered.</x:v>
      </x:c>
      <x:c r="E4" s="50" t="str">
        <x:v>cs.toronto.edu; yoshuabengio.org</x:v>
      </x:c>
    </x:row>
    <x:row r="5" ht="42" customHeight="1">
      <x:c r="A5" s="50" t="str">
        <x:v>source_page_url</x:v>
      </x:c>
      <x:c r="B5" s="50" t="str">
        <x:v>Yes</x:v>
      </x:c>
      <x:c r="C5" s="50" t="str">
        <x:v>All</x:v>
      </x:c>
      <x:c r="D5" s="50" t="str">
        <x:v>First-party page where the link or content was found.</x:v>
      </x:c>
      <x:c r="E5" s="50" t="str">
        <x:v>Keep as provenance even if canonical URL differs</x:v>
      </x:c>
    </x:row>
    <x:row r="6" ht="42" customHeight="1">
      <x:c r="A6" s="50" t="str">
        <x:v>canonical_url</x:v>
      </x:c>
      <x:c r="B6" s="50" t="str">
        <x:v>Yes</x:v>
      </x:c>
      <x:c r="C6" s="50" t="str">
        <x:v>All</x:v>
      </x:c>
      <x:c r="D6" s="50" t="str">
        <x:v>Best known canonical URL for the item; de-duplicate equivalent URL variants.</x:v>
      </x:c>
      <x:c r="E6" s="50" t="str">
        <x:v>Normalize fragments/tracking parameters cautiously</x:v>
      </x:c>
    </x:row>
    <x:row r="7" ht="42" customHeight="1">
      <x:c r="A7" s="50" t="str">
        <x:v>title</x:v>
      </x:c>
      <x:c r="B7" s="50" t="str">
        <x:v>Yes</x:v>
      </x:c>
      <x:c r="C7" s="50" t="str">
        <x:v>All</x:v>
      </x:c>
      <x:c r="D7" s="50" t="str">
        <x:v>Original title/headline/course/talk/resource name.</x:v>
      </x:c>
      <x:c r="E7" s="50" t="str">
        <x:v>Preserve source title; do not replace with AI-generated summary</x:v>
      </x:c>
    </x:row>
    <x:row r="8" ht="42" customHeight="1">
      <x:c r="A8" s="50" t="str">
        <x:v>content_type</x:v>
      </x:c>
      <x:c r="B8" s="50" t="str">
        <x:v>Yes</x:v>
      </x:c>
      <x:c r="C8" s="50" t="str">
        <x:v>All</x:v>
      </x:c>
      <x:c r="D8" s="50" t="str">
        <x:v>Controlled category for the source item.</x:v>
      </x:c>
      <x:c r="E8" s="50" t="str">
        <x:v>paper, blog_post, lecture, talk, interview, report, biography, code, other</x:v>
      </x:c>
    </x:row>
    <x:row r="9" ht="42" customHeight="1">
      <x:c r="A9" s="50" t="str">
        <x:v>authors_or_speakers</x:v>
      </x:c>
      <x:c r="B9" s="50" t="str">
        <x:v>Where available</x:v>
      </x:c>
      <x:c r="C9" s="50" t="str">
        <x:v>Papers / articles / talks</x:v>
      </x:c>
      <x:c r="D9" s="50" t="str">
        <x:v>Names as shown by source; keep author order where possible.</x:v>
      </x:c>
      <x:c r="E9" s="50" t="str">
        <x:v>Store as separate related records or structured array</x:v>
      </x:c>
    </x:row>
    <x:row r="10" ht="42" customHeight="1">
      <x:c r="A10" s="50" t="str">
        <x:v>published_at</x:v>
      </x:c>
      <x:c r="B10" s="50" t="str">
        <x:v>Where available</x:v>
      </x:c>
      <x:c r="C10" s="50" t="str">
        <x:v>Papers / articles / talks / reports</x:v>
      </x:c>
      <x:c r="D10" s="50" t="str">
        <x:v>Original publication or event date; leave null if unknown.</x:v>
      </x:c>
      <x:c r="E10" s="50" t="str">
        <x:v>ISO date YYYY-MM-DD where precise</x:v>
      </x:c>
    </x:row>
    <x:row r="11" ht="42" customHeight="1">
      <x:c r="A11" s="50" t="str">
        <x:v>year</x:v>
      </x:c>
      <x:c r="B11" s="50" t="str">
        <x:v>Where available</x:v>
      </x:c>
      <x:c r="C11" s="50" t="str">
        <x:v>Older listings</x:v>
      </x:c>
      <x:c r="D11" s="50" t="str">
        <x:v>Year extracted from source when exact date is not available.</x:v>
      </x:c>
      <x:c r="E11" s="50" t="str">
        <x:v>Do not fabricate month/day</x:v>
      </x:c>
    </x:row>
    <x:row r="12" ht="42" customHeight="1">
      <x:c r="A12" s="50" t="str">
        <x:v>abstract_or_teaser</x:v>
      </x:c>
      <x:c r="B12" s="50" t="str">
        <x:v>When shown</x:v>
      </x:c>
      <x:c r="C12" s="50" t="str">
        <x:v>Papers / posts / reports</x:v>
      </x:c>
      <x:c r="D12" s="50" t="str">
        <x:v>Original abstract, summary, or teaser where permitted.</x:v>
      </x:c>
      <x:c r="E12" s="50" t="str">
        <x:v>Label type as abstract vs publisher teaser</x:v>
      </x:c>
    </x:row>
    <x:row r="13" ht="42" customHeight="1">
      <x:c r="A13" s="50" t="str">
        <x:v>topics_source</x:v>
      </x:c>
      <x:c r="B13" s="50" t="str">
        <x:v>When shown</x:v>
      </x:c>
      <x:c r="C13" s="50" t="str">
        <x:v>All</x:v>
      </x:c>
      <x:c r="D13" s="50" t="str">
        <x:v>Topic/category labels explicitly supplied by source.</x:v>
      </x:c>
      <x:c r="E13" s="50" t="str">
        <x:v>Keep distinct from app-generated tags</x:v>
      </x:c>
    </x:row>
    <x:row r="14" ht="42" customHeight="1">
      <x:c r="A14" s="50" t="str">
        <x:v>topics_inferred</x:v>
      </x:c>
      <x:c r="B14" s="50" t="str">
        <x:v>Optional later</x:v>
      </x:c>
      <x:c r="C14" s="50" t="str">
        <x:v>All</x:v>
      </x:c>
      <x:c r="D14" s="50" t="str">
        <x:v>Application-assigned normalized concept tags.</x:v>
      </x:c>
      <x:c r="E14" s="50" t="str">
        <x:v>Store model/version and confidence if AI generated</x:v>
      </x:c>
    </x:row>
    <x:row r="15" ht="42" customHeight="1">
      <x:c r="A15" s="50" t="str">
        <x:v>external_identifiers</x:v>
      </x:c>
      <x:c r="B15" s="50" t="str">
        <x:v>When available</x:v>
      </x:c>
      <x:c r="C15" s="50" t="str">
        <x:v>Papers / reports</x:v>
      </x:c>
      <x:c r="D15" s="50" t="str">
        <x:v>DOI, arXiv ID, ISBN, repository ID, official report ID.</x:v>
      </x:c>
      <x:c r="E15" s="50" t="str">
        <x:v>Identifiers should be validated before joining sources</x:v>
      </x:c>
    </x:row>
    <x:row r="16" ht="42" customHeight="1">
      <x:c r="A16" s="50" t="str">
        <x:v>resource_links</x:v>
      </x:c>
      <x:c r="B16" s="50" t="str">
        <x:v>Yes</x:v>
      </x:c>
      <x:c r="C16" s="50" t="str">
        <x:v>All</x:v>
      </x:c>
      <x:c r="D16" s="50" t="str">
        <x:v>Links to PDF, slides, video, code, datasets, or related resources.</x:v>
      </x:c>
      <x:c r="E16" s="50" t="str">
        <x:v>Record URL, link label, format, host domain; no automatic download</x:v>
      </x:c>
    </x:row>
    <x:row r="17" ht="42" customHeight="1">
      <x:c r="A17" s="50" t="str">
        <x:v>content_capture_status</x:v>
      </x:c>
      <x:c r="B17" s="50" t="str">
        <x:v>Yes</x:v>
      </x:c>
      <x:c r="C17" s="50" t="str">
        <x:v>All</x:v>
      </x:c>
      <x:c r="D17" s="50" t="str">
        <x:v>Whether only metadata, excerpts, full text, or transcript is held.</x:v>
      </x:c>
      <x:c r="E17" s="50" t="str">
        <x:v>metadata_only, excerpt, full_text, transcript, inaccessible</x:v>
      </x:c>
    </x:row>
    <x:row r="18" ht="42" customHeight="1">
      <x:c r="A18" s="50" t="str">
        <x:v>rights_status</x:v>
      </x:c>
      <x:c r="B18" s="50" t="str">
        <x:v>Yes</x:v>
      </x:c>
      <x:c r="C18" s="50" t="str">
        <x:v>All</x:v>
      </x:c>
      <x:c r="D18" s="50" t="str">
        <x:v>Known license/access/reuse status and basis for decision.</x:v>
      </x:c>
      <x:c r="E18" s="50" t="str">
        <x:v>unknown, link_only, open_license, permission_checked, restricted</x:v>
      </x:c>
    </x:row>
    <x:row r="19" ht="42" customHeight="1">
      <x:c r="A19" s="50" t="str">
        <x:v>robots_status</x:v>
      </x:c>
      <x:c r="B19" s="50" t="str">
        <x:v>Yes</x:v>
      </x:c>
      <x:c r="C19" s="50" t="str">
        <x:v>Site/domain</x:v>
      </x:c>
      <x:c r="D19" s="50" t="str">
        <x:v>Result of robots.txt review for the relevant path.</x:v>
      </x:c>
      <x:c r="E19" s="50" t="str">
        <x:v>pending until verified directly</x:v>
      </x:c>
    </x:row>
    <x:row r="20" ht="42" customHeight="1">
      <x:c r="A20" s="50" t="str">
        <x:v>retrieved_at</x:v>
      </x:c>
      <x:c r="B20" s="50" t="str">
        <x:v>Yes</x:v>
      </x:c>
      <x:c r="C20" s="50" t="str">
        <x:v>All</x:v>
      </x:c>
      <x:c r="D20" s="50" t="str">
        <x:v>Timestamp when inventory or content was fetched.</x:v>
      </x:c>
      <x:c r="E20" s="50" t="str">
        <x:v>UTC timestamp if possible</x:v>
      </x:c>
    </x:row>
    <x:row r="21" ht="42" customHeight="1">
      <x:c r="A21" s="50" t="str">
        <x:v>content_hash</x:v>
      </x:c>
      <x:c r="B21" s="50" t="str">
        <x:v>When text captured</x:v>
      </x:c>
      <x:c r="C21" s="50" t="str">
        <x:v>Text content</x:v>
      </x:c>
      <x:c r="D21" s="50" t="str">
        <x:v>Hash used to detect change and support deduplication.</x:v>
      </x:c>
      <x:c r="E21" s="50" t="str">
        <x:v>SHA-256 of normalized content</x:v>
      </x:c>
    </x:row>
    <x:row r="22" ht="42" customHeight="1">
      <x:c r="A22" s="50" t="str">
        <x:v>last_seen_at</x:v>
      </x:c>
      <x:c r="B22" s="50" t="str">
        <x:v>Yes</x:v>
      </x:c>
      <x:c r="C22" s="50" t="str">
        <x:v>All</x:v>
      </x:c>
      <x:c r="D22" s="50" t="str">
        <x:v>Last date this record was observed at source.</x:v>
      </x:c>
      <x:c r="E22" s="50" t="str">
        <x:v>Used for stale/removed-link checks</x:v>
      </x:c>
    </x:row>
    <x:row r="23" ht="42" customHeight="1">
      <x:c r="A23" s="50" t="str">
        <x:v>notes</x:v>
      </x:c>
      <x:c r="B23" s="50" t="str">
        <x:v>Optional</x:v>
      </x:c>
      <x:c r="C23" s="50" t="str">
        <x:v>All</x:v>
      </x:c>
      <x:c r="D23" s="50" t="str">
        <x:v>Human review notes and unresolved issues.</x:v>
      </x:c>
      <x:c r="E23" s="50" t="str">
        <x:v>Keep uncertainty explicit</x:v>
      </x:c>
    </x:row>
  </x:sheetData>
  <x:pageMargins left="0.7" right="0.7" top="0.75" bottom="0.75" header="0.3" footer="0.3"/>
  <x:tableParts count="1">
    <x:tablePart xmlns:r="http://schemas.openxmlformats.org/officeDocument/2006/relationships" r:id="Rb770ac2ea96e47b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72" hidden="0" customWidth="1"/>
    <x:col min="4" max="4" width="56" hidden="0" customWidth="1"/>
  </x:cols>
  <x:sheetData>
    <x:row r="1" ht="30" customHeight="1">
      <x:c r="A1" s="63" t="str">
        <x:v>Collection Guardrails &amp; Verification Queue</x:v>
      </x:c>
      <x:c r="B1" s="63"/>
      <x:c r="C1" s="63"/>
      <x:c r="D1" s="63"/>
    </x:row>
    <x:row r="3" ht="32" customHeight="1">
      <x:c r="A3" s="46" t="str">
        <x:v>Check / rule</x:v>
      </x:c>
      <x:c r="B3" s="46" t="str">
        <x:v>Current state</x:v>
      </x:c>
      <x:c r="C3" s="46" t="str">
        <x:v>Action before implementation</x:v>
      </x:c>
      <x:c r="D3" s="46" t="str">
        <x:v>Why it matters</x:v>
      </x:c>
    </x:row>
    <x:row r="4" ht="54" customHeight="1">
      <x:c r="A4" s="50" t="str">
        <x:v>Hinton robots.txt</x:v>
      </x:c>
      <x:c r="B4" s="50" t="str">
        <x:v>Pending — direct endpoint could not be verified in this pass</x:v>
      </x:c>
      <x:c r="C4" s="50" t="str">
        <x:v>Open https://www.cs.toronto.edu/~hinton/robots.txt manually or from the runtime that will run the crawler; record the result and date.</x:v>
      </x:c>
      <x:c r="D4" s="50" t="str">
        <x:v>Robots rules may restrict path groups or specify crawl delay.</x:v>
      </x:c>
    </x:row>
    <x:row r="5" ht="54" customHeight="1">
      <x:c r="A5" s="50" t="str">
        <x:v>Bengio robots.txt</x:v>
      </x:c>
      <x:c r="B5" s="50" t="str">
        <x:v>Pending — direct endpoint could not be verified in this pass</x:v>
      </x:c>
      <x:c r="C5" s="50" t="str">
        <x:v>Open https://yoshuabengio.org/robots.txt and record applicable rules.</x:v>
      </x:c>
      <x:c r="D5" s="50" t="str">
        <x:v>Do not infer permission from a page being publicly visible.</x:v>
      </x:c>
    </x:row>
    <x:row r="6" ht="54" customHeight="1">
      <x:c r="A6" s="50" t="str">
        <x:v>Hinton sitemap</x:v>
      </x:c>
      <x:c r="B6" s="50" t="str">
        <x:v>Unverified</x:v>
      </x:c>
      <x:c r="C6" s="50" t="str">
        <x:v>Check https://www.cs.toronto.edu/~hinton/sitemap.xml and alternate sitemap declarations; do not assume a sitemap exists.</x:v>
      </x:c>
      <x:c r="D6" s="50" t="str">
        <x:v>A sitemap can make inventory coverage more systematic.</x:v>
      </x:c>
    </x:row>
    <x:row r="7" ht="54" customHeight="1">
      <x:c r="A7" s="50" t="str">
        <x:v>Bengio sitemap</x:v>
      </x:c>
      <x:c r="B7" s="50" t="str">
        <x:v>Unverified</x:v>
      </x:c>
      <x:c r="C7" s="50" t="str">
        <x:v>Check https://yoshuabengio.org/sitemap.xml and alternate sitemap declarations; do not assume a sitemap exists.</x:v>
      </x:c>
      <x:c r="D7" s="50" t="str">
        <x:v>Can help discover all first-party articles/publication pages.</x:v>
      </x:c>
    </x:row>
    <x:row r="8" ht="54" customHeight="1">
      <x:c r="A8" s="50" t="str">
        <x:v>Terms / copyright / licenses</x:v>
      </x:c>
      <x:c r="B8" s="50" t="str">
        <x:v>Pending</x:v>
      </x:c>
      <x:c r="C8" s="50" t="str">
        <x:v>Check each site's terms, copyright notes, and individual asset license/rights before full-text or file collection.</x:v>
      </x:c>
      <x:c r="D8" s="50" t="str">
        <x:v>Public access is not equivalent to permission to republish.</x:v>
      </x:c>
    </x:row>
    <x:row r="9" ht="54" customHeight="1">
      <x:c r="A9" s="50" t="str">
        <x:v>First pass capture policy</x:v>
      </x:c>
      <x:c r="B9" s="50" t="str">
        <x:v>Recommended</x:v>
      </x:c>
      <x:c r="C9" s="50" t="str">
        <x:v>Collect first-party URLs, titles, dates, authors, categories, descriptions, outbound links, and identifiers first.</x:v>
      </x:c>
      <x:c r="D9" s="50" t="str">
        <x:v>Metadata-first inventory reduces risk and accelerates source mapping.</x:v>
      </x:c>
    </x:row>
    <x:row r="10" ht="54" customHeight="1">
      <x:c r="A10" s="50" t="str">
        <x:v>Full text and PDF retrieval</x:v>
      </x:c>
      <x:c r="B10" s="50" t="str">
        <x:v>Not approved by default</x:v>
      </x:c>
      <x:c r="C10" s="50" t="str">
        <x:v>Only fetch/store when access and reuse terms support the intended use; otherwise store metadata + URL.</x:v>
      </x:c>
      <x:c r="D10" s="50" t="str">
        <x:v>Research papers and presentations can have separate publisher or author rights.</x:v>
      </x:c>
    </x:row>
    <x:row r="11" ht="54" customHeight="1">
      <x:c r="A11" s="50" t="str">
        <x:v>Video / podcast content</x:v>
      </x:c>
      <x:c r="B11" s="50" t="str">
        <x:v>Metadata only for initial pass</x:v>
      </x:c>
      <x:c r="C11" s="50" t="str">
        <x:v>Index title, platform, date, URL, and transcript availability. Use provider APIs/captions only when permitted.</x:v>
      </x:c>
      <x:c r="D11" s="50" t="str">
        <x:v>Avoid downloading or re-hosting media without rights.</x:v>
      </x:c>
    </x:row>
    <x:row r="12" ht="54" customHeight="1">
      <x:c r="A12" s="50" t="str">
        <x:v>External links</x:v>
      </x:c>
      <x:c r="B12" s="50" t="str">
        <x:v>Out of initial crawl scope</x:v>
      </x:c>
      <x:c r="C12" s="50" t="str">
        <x:v>Record outgoing URL and domain; add the external domain as a separately approved connector later.</x:v>
      </x:c>
      <x:c r="D12" s="50" t="str">
        <x:v>Prevents uncontrolled recursive crawling and scope creep.</x:v>
      </x:c>
    </x:row>
    <x:row r="13" ht="54" customHeight="1">
      <x:c r="A13" s="50" t="str">
        <x:v>Request rate</x:v>
      </x:c>
      <x:c r="B13" s="50" t="str">
        <x:v>Conservative default: one request per second unless rules require slower</x:v>
      </x:c>
      <x:c r="C13" s="50" t="str">
        <x:v>Use a clear user agent, bounded concurrency, retries with backoff, caching, and conditional requests.</x:v>
      </x:c>
      <x:c r="D13" s="50" t="str">
        <x:v>Courteous crawling reduces server load and avoids repetitive requests.</x:v>
      </x:c>
    </x:row>
    <x:row r="14" ht="54" customHeight="1">
      <x:c r="A14" s="50" t="str">
        <x:v>Provenance and deduplication</x:v>
      </x:c>
      <x:c r="B14" s="50" t="str">
        <x:v>Required design feature</x:v>
      </x:c>
      <x:c r="C14" s="50" t="str">
        <x:v>Record first-party discovery page, canonical URL, retrieval timestamp, content hash, and original title.</x:v>
      </x:c>
      <x:c r="D14" s="50" t="str">
        <x:v>Supports traceability, updates, deduplication, and trustworthy AI answers.</x:v>
      </x:c>
    </x:row>
    <x:row r="15" ht="54" customHeight="1">
      <x:c r="A15" s="50" t="str">
        <x:v>AI-generated summaries</x:v>
      </x:c>
      <x:c r="B15" s="50" t="str">
        <x:v>Later stage</x:v>
      </x:c>
      <x:c r="C15" s="50" t="str">
        <x:v>Keep generated summaries separate from source text; link each summary to retrieved passages/URLs.</x:v>
      </x:c>
      <x:c r="D15" s="50" t="str">
        <x:v>Prevents model-generated text from being mistaken for what a researcher actually said.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39bd038849f4511"/>
  </x:tableParts>
</x:worksheet>
</file>